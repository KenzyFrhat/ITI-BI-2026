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ssa\Downloads\"/>
    </mc:Choice>
  </mc:AlternateContent>
  <xr:revisionPtr revIDLastSave="0" documentId="13_ncr:1_{351FDA64-C9CA-4231-BC49-FD8D6E379382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leaned_Data" sheetId="1" r:id="rId1"/>
    <sheet name="Descriptive Statistics Summary" sheetId="2" r:id="rId2"/>
    <sheet name="All Columns" sheetId="3" r:id="rId3"/>
  </sheets>
  <definedNames>
    <definedName name="_xlchart.v1.0" hidden="1">Cleaned_Data!$G$1</definedName>
    <definedName name="_xlchart.v1.1" hidden="1">Cleaned_Data!$G$2:$G$250</definedName>
    <definedName name="_xlchart.v1.2" hidden="1">Cleaned_Data!$B$2:$B$250</definedName>
    <definedName name="_xlchart.v1.3" hidden="1">Cleaned_Data!$G$1</definedName>
    <definedName name="_xlchart.v1.4" hidden="1">Cleaned_Data!$G$2:$G$250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F11" i="3"/>
  <c r="C6" i="3"/>
  <c r="C7" i="3"/>
  <c r="C8" i="3"/>
  <c r="C9" i="3"/>
  <c r="C10" i="3"/>
  <c r="C11" i="3"/>
  <c r="D11" i="3"/>
  <c r="D10" i="3"/>
  <c r="D9" i="3"/>
  <c r="D8" i="3"/>
  <c r="D7" i="3"/>
  <c r="D6" i="3"/>
  <c r="E11" i="3"/>
  <c r="E10" i="3"/>
  <c r="E9" i="3"/>
  <c r="E8" i="3"/>
  <c r="E7" i="3"/>
  <c r="E6" i="3"/>
  <c r="F10" i="3"/>
  <c r="F9" i="3"/>
  <c r="F8" i="3"/>
  <c r="F7" i="3"/>
  <c r="F6" i="3"/>
  <c r="G11" i="3"/>
  <c r="G10" i="3"/>
  <c r="G9" i="3"/>
  <c r="G8" i="3"/>
  <c r="G7" i="3"/>
  <c r="G6" i="3"/>
  <c r="G5" i="3"/>
  <c r="H11" i="3"/>
  <c r="H10" i="3"/>
  <c r="H9" i="3"/>
  <c r="H8" i="3"/>
  <c r="H7" i="3"/>
  <c r="H6" i="3"/>
  <c r="J6" i="3"/>
  <c r="J7" i="3"/>
  <c r="J8" i="3"/>
  <c r="J9" i="3"/>
  <c r="J10" i="3"/>
  <c r="J11" i="3"/>
  <c r="K11" i="3"/>
  <c r="K10" i="3"/>
  <c r="K9" i="3"/>
  <c r="K8" i="3"/>
  <c r="K7" i="3"/>
  <c r="K6" i="3"/>
  <c r="K5" i="3"/>
  <c r="L5" i="3" s="1"/>
  <c r="J5" i="3"/>
  <c r="H5" i="3"/>
  <c r="F5" i="3"/>
  <c r="M5" i="3" s="1"/>
  <c r="E5" i="3"/>
  <c r="D5" i="3"/>
  <c r="C5" i="3"/>
  <c r="K4" i="3"/>
  <c r="J4" i="3"/>
  <c r="H4" i="3"/>
  <c r="I4" i="3" s="1"/>
  <c r="G4" i="3"/>
  <c r="F4" i="3"/>
  <c r="M4" i="3" s="1"/>
  <c r="D4" i="3"/>
  <c r="C4" i="3"/>
  <c r="B11" i="3"/>
  <c r="B10" i="3"/>
  <c r="B8" i="3"/>
  <c r="B7" i="3"/>
  <c r="B5" i="3"/>
  <c r="B4" i="3"/>
  <c r="B6" i="3"/>
  <c r="B6" i="2"/>
  <c r="C21" i="2" a="1"/>
  <c r="C21" i="2" s="1"/>
  <c r="B14" i="2"/>
  <c r="D36" i="2" a="1"/>
  <c r="D36" i="2" s="1"/>
  <c r="B36" i="2" a="1"/>
  <c r="B36" i="2" s="1"/>
  <c r="E22" i="2"/>
  <c r="E23" i="2"/>
  <c r="E24" i="2"/>
  <c r="E25" i="2"/>
  <c r="E21" i="2"/>
  <c r="B8" i="2"/>
  <c r="B22" i="2"/>
  <c r="C22" i="2" a="1"/>
  <c r="C22" i="2" s="1"/>
  <c r="D22" i="2" a="1"/>
  <c r="D22" i="2" s="1"/>
  <c r="B23" i="2"/>
  <c r="C23" i="2" a="1"/>
  <c r="C23" i="2" s="1"/>
  <c r="D23" i="2" a="1"/>
  <c r="D23" i="2" s="1"/>
  <c r="B24" i="2"/>
  <c r="C24" i="2" a="1"/>
  <c r="C24" i="2" s="1"/>
  <c r="D24" i="2" a="1"/>
  <c r="D24" i="2" s="1"/>
  <c r="B25" i="2"/>
  <c r="C25" i="2" a="1"/>
  <c r="C25" i="2" s="1"/>
  <c r="D25" i="2" a="1"/>
  <c r="D25" i="2" s="1"/>
  <c r="D21" i="2" a="1"/>
  <c r="D21" i="2" s="1"/>
  <c r="B21" i="2"/>
  <c r="B15" i="2"/>
  <c r="B13" i="2"/>
  <c r="B12" i="2"/>
  <c r="B11" i="2"/>
  <c r="B10" i="2"/>
  <c r="B7" i="2"/>
  <c r="L4" i="3" l="1"/>
  <c r="I11" i="3"/>
  <c r="M8" i="3"/>
  <c r="I5" i="3"/>
  <c r="L10" i="3"/>
  <c r="I7" i="3"/>
  <c r="M7" i="3"/>
  <c r="M6" i="3"/>
  <c r="M11" i="3"/>
  <c r="M10" i="3"/>
  <c r="M9" i="3"/>
  <c r="I10" i="3"/>
  <c r="I9" i="3"/>
  <c r="I8" i="3"/>
  <c r="I6" i="3"/>
  <c r="L6" i="3"/>
  <c r="L7" i="3"/>
  <c r="L8" i="3"/>
  <c r="L9" i="3"/>
  <c r="L11" i="3"/>
  <c r="D35" i="2"/>
  <c r="B35" i="2"/>
  <c r="B16" i="2"/>
  <c r="B29" i="2" s="1"/>
  <c r="B30" i="2" l="1"/>
  <c r="B3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<sst xmlns="http://schemas.openxmlformats.org/spreadsheetml/2006/main" count="1809" uniqueCount="338">
  <si>
    <t>student_id</t>
  </si>
  <si>
    <t>branch</t>
  </si>
  <si>
    <t>track</t>
  </si>
  <si>
    <t>gender</t>
  </si>
  <si>
    <t>age</t>
  </si>
  <si>
    <t>study_hours_week</t>
  </si>
  <si>
    <t>commute_minutes</t>
  </si>
  <si>
    <t>sleep_hours</t>
  </si>
  <si>
    <t>projects_submitted</t>
  </si>
  <si>
    <t>satisfaction_1to5</t>
  </si>
  <si>
    <t>has_laptop</t>
  </si>
  <si>
    <t>transport</t>
  </si>
  <si>
    <t>pets_at_home</t>
  </si>
  <si>
    <t>favorite_sport</t>
  </si>
  <si>
    <t>final_score</t>
  </si>
  <si>
    <t>num_id</t>
  </si>
  <si>
    <t>ITI-1031</t>
  </si>
  <si>
    <t>cairo</t>
  </si>
  <si>
    <t>data science</t>
  </si>
  <si>
    <t>m</t>
  </si>
  <si>
    <t>yes</t>
  </si>
  <si>
    <t>car</t>
  </si>
  <si>
    <t>swimming</t>
  </si>
  <si>
    <t>ITI-1117</t>
  </si>
  <si>
    <t>assiut</t>
  </si>
  <si>
    <t>f</t>
  </si>
  <si>
    <t>metro</t>
  </si>
  <si>
    <t>football</t>
  </si>
  <si>
    <t>ITI-1080</t>
  </si>
  <si>
    <t>bus</t>
  </si>
  <si>
    <t>ITI-1128</t>
  </si>
  <si>
    <t>web development</t>
  </si>
  <si>
    <t>ITI-1197</t>
  </si>
  <si>
    <t>menoufia</t>
  </si>
  <si>
    <t>no</t>
  </si>
  <si>
    <t>ITI-1138</t>
  </si>
  <si>
    <t>ui/ux</t>
  </si>
  <si>
    <t>microbus</t>
  </si>
  <si>
    <t>running</t>
  </si>
  <si>
    <t>ITI-1210</t>
  </si>
  <si>
    <t>ITI-1046</t>
  </si>
  <si>
    <t>ITI-1159</t>
  </si>
  <si>
    <t>walk</t>
  </si>
  <si>
    <t>ITI-1248</t>
  </si>
  <si>
    <t>alexandria</t>
  </si>
  <si>
    <t>basketball</t>
  </si>
  <si>
    <t>ITI-1184</t>
  </si>
  <si>
    <t>mansoura</t>
  </si>
  <si>
    <t>ITI-1042</t>
  </si>
  <si>
    <t>ITI-1228</t>
  </si>
  <si>
    <t>ITI-1083</t>
  </si>
  <si>
    <t>ITI-1166</t>
  </si>
  <si>
    <t>ITI-1195</t>
  </si>
  <si>
    <t>ITI-1227</t>
  </si>
  <si>
    <t>ITI-1147</t>
  </si>
  <si>
    <t>ITI-1105</t>
  </si>
  <si>
    <t>ITI-1061</t>
  </si>
  <si>
    <t>ITI-1222</t>
  </si>
  <si>
    <t>ITI-1109</t>
  </si>
  <si>
    <t>ITI-1047</t>
  </si>
  <si>
    <t>ITI-1043</t>
  </si>
  <si>
    <t>ITI-1186</t>
  </si>
  <si>
    <t>embedded systems</t>
  </si>
  <si>
    <t>ITI-1010</t>
  </si>
  <si>
    <t>ITI-1023</t>
  </si>
  <si>
    <t>ITI-1200</t>
  </si>
  <si>
    <t>ITI-1110</t>
  </si>
  <si>
    <t>ITI-1025</t>
  </si>
  <si>
    <t>ITI-1114</t>
  </si>
  <si>
    <t>ITI-1069</t>
  </si>
  <si>
    <t>ITI-1225</t>
  </si>
  <si>
    <t>ITI-1253</t>
  </si>
  <si>
    <t>ITI-1007</t>
  </si>
  <si>
    <t>ITI-1121</t>
  </si>
  <si>
    <t>ITI-1068</t>
  </si>
  <si>
    <t>ITI-1120</t>
  </si>
  <si>
    <t>ITI-1119</t>
  </si>
  <si>
    <t>ITI-1026</t>
  </si>
  <si>
    <t>cyber security</t>
  </si>
  <si>
    <t>ITI-1126</t>
  </si>
  <si>
    <t>ITI-1020</t>
  </si>
  <si>
    <t>ITI-1078</t>
  </si>
  <si>
    <t>ITI-1217</t>
  </si>
  <si>
    <t>ITI-1091</t>
  </si>
  <si>
    <t>ITI-1209</t>
  </si>
  <si>
    <t>volleyball</t>
  </si>
  <si>
    <t>ITI-1094</t>
  </si>
  <si>
    <t>ITI-1181</t>
  </si>
  <si>
    <t>ITI-1016</t>
  </si>
  <si>
    <t>ITI-1153</t>
  </si>
  <si>
    <t>ITI-1233</t>
  </si>
  <si>
    <t>ITI-1251</t>
  </si>
  <si>
    <t>ITI-1116</t>
  </si>
  <si>
    <t>ITI-1034</t>
  </si>
  <si>
    <t>ITI-1185</t>
  </si>
  <si>
    <t>ITI-1143</t>
  </si>
  <si>
    <t>ITI-1198</t>
  </si>
  <si>
    <t>ITI-1038</t>
  </si>
  <si>
    <t>ITI-1017</t>
  </si>
  <si>
    <t>ITI-1076</t>
  </si>
  <si>
    <t>ITI-1149</t>
  </si>
  <si>
    <t>ITI-1011</t>
  </si>
  <si>
    <t>ITI-1234</t>
  </si>
  <si>
    <t>ITI-1067</t>
  </si>
  <si>
    <t>ITI-1254</t>
  </si>
  <si>
    <t>ITI-1226</t>
  </si>
  <si>
    <t>ITI-1183</t>
  </si>
  <si>
    <t>ITI-1074</t>
  </si>
  <si>
    <t>ITI-1019</t>
  </si>
  <si>
    <t>ITI-1102</t>
  </si>
  <si>
    <t>ITI-1196</t>
  </si>
  <si>
    <t>ITI-1113</t>
  </si>
  <si>
    <t>ITI-1171</t>
  </si>
  <si>
    <t>ITI-1087</t>
  </si>
  <si>
    <t>ITI-1056</t>
  </si>
  <si>
    <t>ITI-1201</t>
  </si>
  <si>
    <t>ITI-1039</t>
  </si>
  <si>
    <t>ITI-1155</t>
  </si>
  <si>
    <t>ITI-1085</t>
  </si>
  <si>
    <t>ITI-1252</t>
  </si>
  <si>
    <t>ITI-1093</t>
  </si>
  <si>
    <t>ITI-1202</t>
  </si>
  <si>
    <t>ITI-1127</t>
  </si>
  <si>
    <t>ITI-1125</t>
  </si>
  <si>
    <t>ITI-1079</t>
  </si>
  <si>
    <t>ITI-1182</t>
  </si>
  <si>
    <t>ITI-1112</t>
  </si>
  <si>
    <t>ITI-1230</t>
  </si>
  <si>
    <t>ITI-1259</t>
  </si>
  <si>
    <t>ITI-1032</t>
  </si>
  <si>
    <t>ITI-1211</t>
  </si>
  <si>
    <t>ITI-1194</t>
  </si>
  <si>
    <t>ITI-1077</t>
  </si>
  <si>
    <t>ITI-1148</t>
  </si>
  <si>
    <t>ITI-1140</t>
  </si>
  <si>
    <t>ITI-1144</t>
  </si>
  <si>
    <t>ITI-1097</t>
  </si>
  <si>
    <t>ITI-1141</t>
  </si>
  <si>
    <t>ITI-1174</t>
  </si>
  <si>
    <t>ITI-1075</t>
  </si>
  <si>
    <t>ITI-1118</t>
  </si>
  <si>
    <t>ITI-1030</t>
  </si>
  <si>
    <t>ITI-1216</t>
  </si>
  <si>
    <t>ITI-1193</t>
  </si>
  <si>
    <t>ITI-1235</t>
  </si>
  <si>
    <t>ITI-1178</t>
  </si>
  <si>
    <t>ITI-1062</t>
  </si>
  <si>
    <t>ITI-1006</t>
  </si>
  <si>
    <t>ITI-1057</t>
  </si>
  <si>
    <t>ITI-1176</t>
  </si>
  <si>
    <t>ITI-1165</t>
  </si>
  <si>
    <t>ITI-1066</t>
  </si>
  <si>
    <t>ITI-1158</t>
  </si>
  <si>
    <t>ITI-1086</t>
  </si>
  <si>
    <t>ITI-1115</t>
  </si>
  <si>
    <t>ITI-1173</t>
  </si>
  <si>
    <t>ITI-1013</t>
  </si>
  <si>
    <t>ITI-1036</t>
  </si>
  <si>
    <t>ITI-1133</t>
  </si>
  <si>
    <t>ITI-1052</t>
  </si>
  <si>
    <t>ITI-1096</t>
  </si>
  <si>
    <t>ITI-1168</t>
  </si>
  <si>
    <t>ITI-1180</t>
  </si>
  <si>
    <t>ITI-1247</t>
  </si>
  <si>
    <t>ITI-1177</t>
  </si>
  <si>
    <t>ITI-1137</t>
  </si>
  <si>
    <t>ITI-1027</t>
  </si>
  <si>
    <t>ITI-1142</t>
  </si>
  <si>
    <t>ITI-1160</t>
  </si>
  <si>
    <t>ITI-1001</t>
  </si>
  <si>
    <t>ITI-1232</t>
  </si>
  <si>
    <t>ITI-1101</t>
  </si>
  <si>
    <t>ITI-1242</t>
  </si>
  <si>
    <t>ITI-1203</t>
  </si>
  <si>
    <t>ITI-1099</t>
  </si>
  <si>
    <t>ITI-1037</t>
  </si>
  <si>
    <t>ITI-1151</t>
  </si>
  <si>
    <t>ITI-1213</t>
  </si>
  <si>
    <t>ITI-1257</t>
  </si>
  <si>
    <t>ITI-1012</t>
  </si>
  <si>
    <t>ITI-1231</t>
  </si>
  <si>
    <t>ITI-1028</t>
  </si>
  <si>
    <t>ITI-1005</t>
  </si>
  <si>
    <t>ITI-1123</t>
  </si>
  <si>
    <t>ITI-1033</t>
  </si>
  <si>
    <t>ITI-1205</t>
  </si>
  <si>
    <t>ITI-1163</t>
  </si>
  <si>
    <t>ITI-1169</t>
  </si>
  <si>
    <t>ITI-1207</t>
  </si>
  <si>
    <t>ITI-1063</t>
  </si>
  <si>
    <t>ITI-1136</t>
  </si>
  <si>
    <t>ITI-1129</t>
  </si>
  <si>
    <t>ITI-1244</t>
  </si>
  <si>
    <t>ITI-1071</t>
  </si>
  <si>
    <t>ITI-1223</t>
  </si>
  <si>
    <t>ITI-1065</t>
  </si>
  <si>
    <t>ITI-1045</t>
  </si>
  <si>
    <t>ITI-1187</t>
  </si>
  <si>
    <t>ITI-1157</t>
  </si>
  <si>
    <t>ITI-1124</t>
  </si>
  <si>
    <t>ITI-1154</t>
  </si>
  <si>
    <t>ITI-1024</t>
  </si>
  <si>
    <t>ITI-1218</t>
  </si>
  <si>
    <t>ITI-1082</t>
  </si>
  <si>
    <t>ITI-1040</t>
  </si>
  <si>
    <t>ITI-1241</t>
  </si>
  <si>
    <t>ITI-1048</t>
  </si>
  <si>
    <t>ITI-1095</t>
  </si>
  <si>
    <t>ITI-1221</t>
  </si>
  <si>
    <t>ITI-1237</t>
  </si>
  <si>
    <t>ITI-1162</t>
  </si>
  <si>
    <t>ITI-1044</t>
  </si>
  <si>
    <t>ITI-1146</t>
  </si>
  <si>
    <t>ITI-1191</t>
  </si>
  <si>
    <t>ITI-1212</t>
  </si>
  <si>
    <t>ITI-1004</t>
  </si>
  <si>
    <t>ITI-1106</t>
  </si>
  <si>
    <t>ITI-1054</t>
  </si>
  <si>
    <t>ITI-1134</t>
  </si>
  <si>
    <t>ITI-1002</t>
  </si>
  <si>
    <t>ITI-1224</t>
  </si>
  <si>
    <t>ITI-1104</t>
  </si>
  <si>
    <t>ITI-1050</t>
  </si>
  <si>
    <t>ITI-1081</t>
  </si>
  <si>
    <t>ITI-1206</t>
  </si>
  <si>
    <t>ITI-1035</t>
  </si>
  <si>
    <t>ITI-1238</t>
  </si>
  <si>
    <t>ITI-1008</t>
  </si>
  <si>
    <t>ITI-1172</t>
  </si>
  <si>
    <t>ITI-1199</t>
  </si>
  <si>
    <t>ITI-1243</t>
  </si>
  <si>
    <t>ITI-1111</t>
  </si>
  <si>
    <t>ITI-1092</t>
  </si>
  <si>
    <t>ITI-1084</t>
  </si>
  <si>
    <t>ITI-1130</t>
  </si>
  <si>
    <t>ITI-1053</t>
  </si>
  <si>
    <t>ITI-1090</t>
  </si>
  <si>
    <t>ITI-1014</t>
  </si>
  <si>
    <t>ITI-1060</t>
  </si>
  <si>
    <t>ITI-1249</t>
  </si>
  <si>
    <t>ITI-1132</t>
  </si>
  <si>
    <t>ITI-1018</t>
  </si>
  <si>
    <t>ITI-1167</t>
  </si>
  <si>
    <t>ITI-1073</t>
  </si>
  <si>
    <t>ITI-1255</t>
  </si>
  <si>
    <t>ITI-1135</t>
  </si>
  <si>
    <t>ITI-1250</t>
  </si>
  <si>
    <t>ITI-1229</t>
  </si>
  <si>
    <t>ITI-1260</t>
  </si>
  <si>
    <t>ITI-1064</t>
  </si>
  <si>
    <t>ITI-1055</t>
  </si>
  <si>
    <t>ITI-1051</t>
  </si>
  <si>
    <t>ITI-1239</t>
  </si>
  <si>
    <t>ITI-1175</t>
  </si>
  <si>
    <t>ITI-1240</t>
  </si>
  <si>
    <t>ITI-1190</t>
  </si>
  <si>
    <t>ITI-1015</t>
  </si>
  <si>
    <t>ITI-1208</t>
  </si>
  <si>
    <t>ITI-1256</t>
  </si>
  <si>
    <t>ITI-1220</t>
  </si>
  <si>
    <t>ITI-1170</t>
  </si>
  <si>
    <t>ITI-1059</t>
  </si>
  <si>
    <t>ITI-1219</t>
  </si>
  <si>
    <t>ITI-1049</t>
  </si>
  <si>
    <t>ITI-1089</t>
  </si>
  <si>
    <t>ITI-1236</t>
  </si>
  <si>
    <t>ITI-1022</t>
  </si>
  <si>
    <t>ITI-1204</t>
  </si>
  <si>
    <t>ITI-1161</t>
  </si>
  <si>
    <t>ITI-1188</t>
  </si>
  <si>
    <t>ITI-1192</t>
  </si>
  <si>
    <t>ITI-1258</t>
  </si>
  <si>
    <t>ITI-1150</t>
  </si>
  <si>
    <t>ITI-1131</t>
  </si>
  <si>
    <t>ITI-1152</t>
  </si>
  <si>
    <t>ITI-1100</t>
  </si>
  <si>
    <t>ITI-1088</t>
  </si>
  <si>
    <t>ITI-1122</t>
  </si>
  <si>
    <t>ITI-1103</t>
  </si>
  <si>
    <t>ITI-1021</t>
  </si>
  <si>
    <t>ITI-1189</t>
  </si>
  <si>
    <t>ITI-1072</t>
  </si>
  <si>
    <t>ITI-1107</t>
  </si>
  <si>
    <t>Measure</t>
  </si>
  <si>
    <t>N (count of non-blank values)</t>
  </si>
  <si>
    <t>Mean</t>
  </si>
  <si>
    <t>Median</t>
  </si>
  <si>
    <t>Mode</t>
  </si>
  <si>
    <t>Minimum</t>
  </si>
  <si>
    <t>Maximum</t>
  </si>
  <si>
    <t>Range (Max − Min)</t>
  </si>
  <si>
    <t>Standard Deviation (sample)</t>
  </si>
  <si>
    <t>Q1 (25th percentile)</t>
  </si>
  <si>
    <t>Q3 (75th percentile)</t>
  </si>
  <si>
    <t>IQR (Q3 − Q1)</t>
  </si>
  <si>
    <t>Branch</t>
  </si>
  <si>
    <t>Count</t>
  </si>
  <si>
    <t>Std Dev</t>
  </si>
  <si>
    <t>Cairo</t>
  </si>
  <si>
    <t>Alexandria</t>
  </si>
  <si>
    <t>Menoufia</t>
  </si>
  <si>
    <t>Mansoura</t>
  </si>
  <si>
    <t>Assiut</t>
  </si>
  <si>
    <t>SECTION 3 — Outlier Fences (1.5×IQR)</t>
  </si>
  <si>
    <t>Lower fence (Q1 - 1.5×IQR)</t>
  </si>
  <si>
    <t>Upper fence (Q3 + 1.5×IQR)</t>
  </si>
  <si>
    <t>SECTION 4 — Coefficient of Variation (CV = StdDev / Mean × 100)</t>
  </si>
  <si>
    <t>Variable</t>
  </si>
  <si>
    <t>SECTION 5 — Distribution Chart</t>
  </si>
  <si>
    <t>Results</t>
  </si>
  <si>
    <t>CV result (%)</t>
  </si>
  <si>
    <t>Part C — Descriptive Statistics Summary</t>
  </si>
  <si>
    <t>Count of OUTLIERS</t>
  </si>
  <si>
    <t>Commute Minutes</t>
  </si>
  <si>
    <t>Final score</t>
  </si>
  <si>
    <t>Final Score</t>
  </si>
  <si>
    <t>Range</t>
  </si>
  <si>
    <t>Q1</t>
  </si>
  <si>
    <t>Q3</t>
  </si>
  <si>
    <t>IQR</t>
  </si>
  <si>
    <t>N (Count)</t>
  </si>
  <si>
    <t>Std Dev (Sample)</t>
  </si>
  <si>
    <t>CV (%)</t>
  </si>
  <si>
    <t xml:space="preserve">Descriptive Statistics — All Numeric Columns </t>
  </si>
  <si>
    <t>SECTION 1 — Overall Descriptive Statistics(Commute _Minutes)</t>
  </si>
  <si>
    <t>16.1, 25.9,37,2</t>
  </si>
  <si>
    <t>Excel Row</t>
  </si>
  <si>
    <t>Student ID</t>
  </si>
  <si>
    <t>Commute (min)</t>
  </si>
  <si>
    <t>Missing</t>
  </si>
  <si>
    <t>The outliers(Rows)</t>
  </si>
  <si>
    <t>SECTION 2 — Branch Summary Table (Commute_minutes)</t>
  </si>
  <si>
    <t>ITI-1214</t>
  </si>
  <si>
    <t>ITI-1139</t>
  </si>
  <si>
    <t>ITI-1041</t>
  </si>
  <si>
    <t>ITI-1108</t>
  </si>
  <si>
    <t>ITI-1058</t>
  </si>
  <si>
    <t>ITI-1215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</si>
</sst>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  <font>
      <b/>
      <sz val="12"/>
      <color rgb="FF1F3864"/>
      <name val="Arial"/>
      <charset val="1"/>
    </font>
    <font>
      <b/>
      <sz val="10"/>
      <name val="Arial"/>
      <charset val="1"/>
    </font>
    <font>
      <i/>
      <sz val="9"/>
      <color rgb="FF7F6000"/>
      <name val="Arial"/>
      <charset val="1"/>
    </font>
    <font>
      <i/>
      <sz val="10"/>
      <name val="Arial"/>
      <charset val="1"/>
    </font>
    <font>
      <sz val="10"/>
      <color theme="1"/>
      <name val="Arial"/>
      <family val="2"/>
    </font>
    <font>
      <b/>
      <sz val="10"/>
      <name val="Arial"/>
      <family val="2"/>
    </font>
    <font>
      <i/>
      <sz val="9"/>
      <color rgb="FF7F6000"/>
      <name val="Arial"/>
      <family val="2"/>
    </font>
    <font>
      <b/>
      <sz val="11"/>
      <color rgb="FFFFFFFF"/>
      <name val="Arial"/>
      <family val="2"/>
    </font>
    <font>
      <b/>
      <sz val="14"/>
      <color rgb="FF1F3864"/>
      <name val="Arial"/>
      <family val="2"/>
    </font>
    <font>
      <sz val="10"/>
      <color theme="1"/>
      <name val="Segoe U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2"/>
      <color rgb="FF1F386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4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DF2E3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/>
      <top/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0" fontId="0" fillId="3" borderId="1" xfId="0" applyFill="1" applyBorder="1"/>
    <xf numFmtId="0" fontId="1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7" fillId="0" borderId="0" xfId="0" applyFont="1"/>
    <xf numFmtId="1" fontId="16" fillId="0" borderId="7" xfId="0" applyNumberFormat="1" applyFont="1" applyBorder="1" applyAlignment="1">
      <alignment horizontal="center" vertical="center"/>
    </xf>
    <xf numFmtId="2" fontId="16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9" fillId="0" borderId="7" xfId="0" applyFont="1" applyBorder="1" applyAlignment="1">
      <alignment horizontal="center" vertical="center"/>
    </xf>
    <xf numFmtId="0" fontId="18" fillId="0" borderId="0" xfId="0" applyFont="1"/>
    <xf numFmtId="0" fontId="20" fillId="0" borderId="0" xfId="0" applyFont="1"/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0" fontId="14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1" fillId="2" borderId="8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0" borderId="0" xfId="0" applyFont="1"/>
    <xf numFmtId="0" fontId="3" fillId="0" borderId="0" xfId="0" applyFont="1"/>
    <xf numFmtId="0" fontId="10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DF2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 sz="1400" b="0" i="0" u="none" strike="noStrike" baseline="0">
                <a:effectLst/>
              </a:rPr>
              <a:t>Variability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'Descriptive Statistics Summary'!$C$35:$C$36</c:f>
              <c:strCache>
                <c:ptCount val="2"/>
                <c:pt idx="0">
                  <c:v>Commute Minutes</c:v>
                </c:pt>
                <c:pt idx="1">
                  <c:v>Final score</c:v>
                </c:pt>
              </c:strCache>
            </c:strRef>
          </c:cat>
          <c:val>
            <c:numRef>
              <c:f>'Descriptive Statistics Summary'!$D$35:$D$36</c:f>
              <c:numCache>
                <c:formatCode>General</c:formatCode>
                <c:ptCount val="2"/>
                <c:pt idx="0">
                  <c:v>88.369530460321641</c:v>
                </c:pt>
                <c:pt idx="1">
                  <c:v>12.316518368415329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A-4682-BB2E-340B071CE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166703"/>
        <c:axId val="1034748175"/>
      </c:barChart>
      <c:catAx>
        <c:axId val="1039166703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34748175"/>
        <c:crosses val="autoZero"/>
        <c:auto val="1"/>
        <c:lblAlgn val="ctr"/>
        <c:lblOffset val="100"/>
        <c:noMultiLvlLbl val="0"/>
      </c:catAx>
      <c:valAx>
        <c:axId val="103474817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 sz="1000" b="0" i="0" u="none" strike="noStrike" baseline="0">
                    <a:effectLst/>
                  </a:rPr>
                  <a:t>Coefficient of Variation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3916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ar-SA"/>
              <a:t>Distribution of Student Commute Times</a:t>
            </a: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</a:endParaRPr>
          </a:p>
        </cx:rich>
      </cx:tx>
    </cx:title>
    <cx:plotArea>
      <cx:plotAreaRegion>
        <cx:plotSurface>
          <cx:spPr>
            <a:ln>
              <a:solidFill>
                <a:schemeClr val="accent1">
                  <a:alpha val="98000"/>
                </a:schemeClr>
              </a:solidFill>
            </a:ln>
          </cx:spPr>
        </cx:plotSurface>
        <cx:series layoutId="clusteredColumn" uniqueId="{A1B82C44-3604-46EC-9A13-635F5A070466}">
          <cx:tx>
            <cx:txData>
              <cx:f>_xlchart.v1.0</cx:f>
              <cx:v>commute_minutes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ar-SA"/>
                  <a:t>Commute Time </a:t>
                </a:r>
                <a:endPara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aseline="0"/>
            </a:pPr>
            <a:endParaRPr lang="en-US" sz="10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</a:endParaRPr>
          </a:p>
        </cx:txPr>
      </cx:axis>
      <cx:axis id="1">
        <cx:valScaling/>
        <cx:title>
          <cx:tx>
            <cx:txData>
              <cx:v>Number of students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</a:rPr>
                <a:t>Number of students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aseline="0"/>
            </a:pPr>
            <a:endParaRPr lang="en-US" sz="10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ar-SA"/>
              <a:t>Commute Time by Branch</a:t>
            </a: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</a:endParaRPr>
          </a:p>
        </cx:rich>
      </cx:tx>
      <cx:extLst>
        <cx:ext uri="ext:featex">
          <cx:featureExtension feature="mp" drop="onModelChange">
            <cx:offset top="-0.02500000037252903"/>
          </cx:featureExtension>
        </cx:ext>
      </cx:extLst>
    </cx:title>
    <cx:plotArea>
      <cx:plotAreaRegion>
        <cx:series layoutId="boxWhisker" uniqueId="{00000000-3DA9-4E57-908A-7C7FFC739797}">
          <cx:tx>
            <cx:txData>
              <cx:f>_xlchart.v1.3</cx:f>
              <cx:v>commute_minutes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ar-SA" sz="1200" b="0" i="0" u="none" strike="noStrike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  <a:latin typeface="Calibri"/>
                    <a:ea typeface="Calibri" panose="020F0502020204030204" pitchFamily="34" charset="0"/>
                    <a:cs typeface="Calibri" panose="020F0502020204030204" pitchFamily="34" charset="0"/>
                  </a:rPr>
                  <a:t>Branch</a:t>
                </a:r>
                <a:endParaRPr lang="en-US" sz="12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</a:endParaRPr>
              </a:p>
            </cx:rich>
          </cx:tx>
          <cx:extLst>
            <cx:ext uri="ext:featex">
              <cx:featureExtension feature="mp" drop="onModelChange">
                <cx:offset top="0.012530621141195297" left="-0.03759295865893364"/>
              </cx:featureExtension>
            </cx:ext>
          </cx:extLst>
        </cx:title>
        <cx:tickLabels/>
      </cx:axis>
      <cx:axis id="1">
        <cx:valScaling/>
        <cx:title>
          <cx:tx>
            <cx:txData>
              <cx:v>Minutes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 baseline="0"/>
              </a:pPr>
              <a:r>
                <a:rPr lang="en-US" sz="12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</a:rPr>
                <a:t>Minutes</a:t>
              </a:r>
            </a:p>
          </cx:txPr>
          <cx:extLst>
            <cx:ext uri="ext:featex">
              <cx:featureExtension feature="mp" drop="onModelChange">
                <cx:offset top="-0.02500000037252903" left="0.01666666753590107"/>
              </cx:featureExtension>
            </cx:ext>
          </cx:extLst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0</xdr:rowOff>
    </xdr:from>
    <xdr:to>
      <xdr:col>3</xdr:col>
      <xdr:colOff>440267</xdr:colOff>
      <xdr:row>53</xdr:row>
      <xdr:rowOff>135467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8470097-E92D-4D21-A186-CAE773F2B1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879080"/>
              <a:ext cx="5538047" cy="26957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ar-S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736600</xdr:colOff>
      <xdr:row>39</xdr:row>
      <xdr:rowOff>59267</xdr:rowOff>
    </xdr:from>
    <xdr:to>
      <xdr:col>10</xdr:col>
      <xdr:colOff>0</xdr:colOff>
      <xdr:row>54</xdr:row>
      <xdr:rowOff>14817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5E9F57F-2324-4069-90E2-2F3E6AB9DB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34380" y="7938347"/>
              <a:ext cx="6357620" cy="269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ar-S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39</xdr:row>
      <xdr:rowOff>42333</xdr:rowOff>
    </xdr:from>
    <xdr:to>
      <xdr:col>14</xdr:col>
      <xdr:colOff>110067</xdr:colOff>
      <xdr:row>53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10A323-4CC9-888C-6E9F-2CB8079A0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0"/>
  <sheetViews>
    <sheetView topLeftCell="F1" zoomScale="91" zoomScaleNormal="100" workbookViewId="0">
      <pane ySplit="1" topLeftCell="A6" activePane="bottomLeft" state="frozen"/>
      <selection pane="bottomLeft" activeCell="T19" sqref="T19"/>
    </sheetView>
  </sheetViews>
  <sheetFormatPr defaultColWidth="8.6640625" defaultRowHeight="14.4" x14ac:dyDescent="0.3"/>
  <cols>
    <col min="1" max="5" width="13" customWidth="1"/>
    <col min="6" max="6" width="18" customWidth="1"/>
    <col min="7" max="7" width="17" customWidth="1"/>
    <col min="8" max="8" width="13" customWidth="1"/>
    <col min="9" max="9" width="20" customWidth="1"/>
    <col min="10" max="10" width="19" customWidth="1"/>
    <col min="11" max="12" width="13" customWidth="1"/>
    <col min="13" max="13" width="14" customWidth="1"/>
    <col min="14" max="14" width="16" customWidth="1"/>
    <col min="15" max="16" width="13" customWidth="1"/>
  </cols>
  <sheetData>
    <row r="1" spans="1:16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21</v>
      </c>
      <c r="F2">
        <v>16.5</v>
      </c>
      <c r="G2">
        <v>34.1</v>
      </c>
      <c r="H2">
        <v>5.5</v>
      </c>
      <c r="I2">
        <v>2</v>
      </c>
      <c r="J2">
        <v>3</v>
      </c>
      <c r="K2" t="s">
        <v>20</v>
      </c>
      <c r="L2" t="s">
        <v>21</v>
      </c>
      <c r="M2">
        <v>0</v>
      </c>
      <c r="N2" t="s">
        <v>22</v>
      </c>
      <c r="O2">
        <v>79.3</v>
      </c>
      <c r="P2" s="2">
        <v>1031</v>
      </c>
    </row>
    <row r="3" spans="1:16" x14ac:dyDescent="0.3">
      <c r="A3" t="s">
        <v>23</v>
      </c>
      <c r="B3" t="s">
        <v>24</v>
      </c>
      <c r="C3" t="s">
        <v>18</v>
      </c>
      <c r="D3" t="s">
        <v>25</v>
      </c>
      <c r="E3">
        <v>29</v>
      </c>
      <c r="F3">
        <v>25.1</v>
      </c>
      <c r="G3">
        <v>5</v>
      </c>
      <c r="H3">
        <v>6.6</v>
      </c>
      <c r="I3">
        <v>3</v>
      </c>
      <c r="J3">
        <v>4</v>
      </c>
      <c r="K3" t="s">
        <v>20</v>
      </c>
      <c r="L3" t="s">
        <v>26</v>
      </c>
      <c r="M3">
        <v>1</v>
      </c>
      <c r="N3" t="s">
        <v>27</v>
      </c>
      <c r="O3">
        <v>91.7</v>
      </c>
      <c r="P3" s="2">
        <v>1117</v>
      </c>
    </row>
    <row r="4" spans="1:16" x14ac:dyDescent="0.3">
      <c r="A4" t="s">
        <v>28</v>
      </c>
      <c r="B4" t="s">
        <v>17</v>
      </c>
      <c r="C4" t="s">
        <v>18</v>
      </c>
      <c r="D4" t="s">
        <v>19</v>
      </c>
      <c r="E4">
        <v>25</v>
      </c>
      <c r="F4">
        <v>14.1</v>
      </c>
      <c r="G4">
        <v>73.2</v>
      </c>
      <c r="H4">
        <v>7.7</v>
      </c>
      <c r="I4">
        <v>0</v>
      </c>
      <c r="J4">
        <v>4</v>
      </c>
      <c r="K4" t="s">
        <v>20</v>
      </c>
      <c r="L4" t="s">
        <v>29</v>
      </c>
      <c r="M4">
        <v>0</v>
      </c>
      <c r="O4">
        <v>79.3</v>
      </c>
      <c r="P4" s="2">
        <v>1080</v>
      </c>
    </row>
    <row r="5" spans="1:16" x14ac:dyDescent="0.3">
      <c r="A5" t="s">
        <v>30</v>
      </c>
      <c r="B5" t="s">
        <v>17</v>
      </c>
      <c r="C5" t="s">
        <v>31</v>
      </c>
      <c r="D5" t="s">
        <v>25</v>
      </c>
      <c r="E5">
        <v>25</v>
      </c>
      <c r="F5">
        <v>5</v>
      </c>
      <c r="G5">
        <v>13.7</v>
      </c>
      <c r="H5">
        <v>6.3</v>
      </c>
      <c r="I5">
        <v>2</v>
      </c>
      <c r="J5">
        <v>4</v>
      </c>
      <c r="K5" t="s">
        <v>20</v>
      </c>
      <c r="L5" t="s">
        <v>26</v>
      </c>
      <c r="M5">
        <v>1</v>
      </c>
      <c r="O5">
        <v>90.6</v>
      </c>
      <c r="P5" s="2">
        <v>1128</v>
      </c>
    </row>
    <row r="6" spans="1:16" x14ac:dyDescent="0.3">
      <c r="A6" t="s">
        <v>32</v>
      </c>
      <c r="B6" t="s">
        <v>33</v>
      </c>
      <c r="C6" t="s">
        <v>31</v>
      </c>
      <c r="D6" t="s">
        <v>19</v>
      </c>
      <c r="E6">
        <v>25</v>
      </c>
      <c r="F6">
        <v>19.899999999999999</v>
      </c>
      <c r="G6">
        <v>17.2</v>
      </c>
      <c r="H6">
        <v>6.9</v>
      </c>
      <c r="I6">
        <v>3</v>
      </c>
      <c r="J6">
        <v>3</v>
      </c>
      <c r="K6" t="s">
        <v>34</v>
      </c>
      <c r="L6" t="s">
        <v>21</v>
      </c>
      <c r="M6">
        <v>0</v>
      </c>
      <c r="O6">
        <v>86.8</v>
      </c>
      <c r="P6" s="2">
        <v>1197</v>
      </c>
    </row>
    <row r="7" spans="1:16" x14ac:dyDescent="0.3">
      <c r="A7" t="s">
        <v>35</v>
      </c>
      <c r="B7" t="s">
        <v>17</v>
      </c>
      <c r="C7" t="s">
        <v>36</v>
      </c>
      <c r="D7" t="s">
        <v>19</v>
      </c>
      <c r="E7">
        <v>22</v>
      </c>
      <c r="F7">
        <v>8.5</v>
      </c>
      <c r="G7">
        <v>29.6</v>
      </c>
      <c r="H7">
        <v>5.2</v>
      </c>
      <c r="I7">
        <v>4</v>
      </c>
      <c r="J7">
        <v>2</v>
      </c>
      <c r="K7" t="s">
        <v>20</v>
      </c>
      <c r="L7" t="s">
        <v>37</v>
      </c>
      <c r="M7">
        <v>1</v>
      </c>
      <c r="N7" t="s">
        <v>38</v>
      </c>
      <c r="O7">
        <v>59.1</v>
      </c>
      <c r="P7" s="2">
        <v>1138</v>
      </c>
    </row>
    <row r="8" spans="1:16" x14ac:dyDescent="0.3">
      <c r="A8" t="s">
        <v>39</v>
      </c>
      <c r="B8" t="s">
        <v>17</v>
      </c>
      <c r="C8" t="s">
        <v>18</v>
      </c>
      <c r="D8" t="s">
        <v>19</v>
      </c>
      <c r="E8">
        <v>21</v>
      </c>
      <c r="F8">
        <v>20.399999999999999</v>
      </c>
      <c r="G8">
        <v>56.1</v>
      </c>
      <c r="H8">
        <v>6.2</v>
      </c>
      <c r="I8">
        <v>3</v>
      </c>
      <c r="J8">
        <v>5</v>
      </c>
      <c r="K8" t="s">
        <v>20</v>
      </c>
      <c r="L8" t="s">
        <v>29</v>
      </c>
      <c r="M8">
        <v>0</v>
      </c>
      <c r="N8" t="s">
        <v>27</v>
      </c>
      <c r="O8">
        <v>92.5</v>
      </c>
      <c r="P8" s="2">
        <v>1210</v>
      </c>
    </row>
    <row r="9" spans="1:16" x14ac:dyDescent="0.3">
      <c r="A9" t="s">
        <v>40</v>
      </c>
      <c r="B9" t="s">
        <v>17</v>
      </c>
      <c r="C9" t="s">
        <v>18</v>
      </c>
      <c r="D9" t="s">
        <v>25</v>
      </c>
      <c r="E9">
        <v>23</v>
      </c>
      <c r="F9">
        <v>14</v>
      </c>
      <c r="G9">
        <v>51.7</v>
      </c>
      <c r="H9">
        <v>7.4</v>
      </c>
      <c r="I9">
        <v>3</v>
      </c>
      <c r="J9">
        <v>3</v>
      </c>
      <c r="K9" t="s">
        <v>20</v>
      </c>
      <c r="L9" t="s">
        <v>29</v>
      </c>
      <c r="M9">
        <v>3</v>
      </c>
      <c r="N9" t="s">
        <v>27</v>
      </c>
      <c r="O9">
        <v>72.599999999999994</v>
      </c>
      <c r="P9" s="2">
        <v>1046</v>
      </c>
    </row>
    <row r="10" spans="1:16" x14ac:dyDescent="0.3">
      <c r="A10" t="s">
        <v>41</v>
      </c>
      <c r="B10" t="s">
        <v>24</v>
      </c>
      <c r="C10" t="s">
        <v>18</v>
      </c>
      <c r="D10" t="s">
        <v>19</v>
      </c>
      <c r="E10">
        <v>20</v>
      </c>
      <c r="F10">
        <v>17.600000000000001</v>
      </c>
      <c r="G10">
        <v>21.8</v>
      </c>
      <c r="H10">
        <v>6.1</v>
      </c>
      <c r="I10">
        <v>5</v>
      </c>
      <c r="J10">
        <v>4</v>
      </c>
      <c r="K10" t="s">
        <v>20</v>
      </c>
      <c r="L10" t="s">
        <v>42</v>
      </c>
      <c r="M10">
        <v>1</v>
      </c>
      <c r="N10" t="s">
        <v>22</v>
      </c>
      <c r="O10">
        <v>88.6</v>
      </c>
      <c r="P10" s="2">
        <v>1159</v>
      </c>
    </row>
    <row r="11" spans="1:16" x14ac:dyDescent="0.3">
      <c r="A11" t="s">
        <v>43</v>
      </c>
      <c r="B11" t="s">
        <v>44</v>
      </c>
      <c r="C11" t="s">
        <v>18</v>
      </c>
      <c r="D11" t="s">
        <v>19</v>
      </c>
      <c r="E11">
        <v>22</v>
      </c>
      <c r="F11">
        <v>18.7</v>
      </c>
      <c r="G11">
        <v>15</v>
      </c>
      <c r="H11">
        <v>7.3</v>
      </c>
      <c r="I11">
        <v>4</v>
      </c>
      <c r="J11">
        <v>4</v>
      </c>
      <c r="K11" t="s">
        <v>34</v>
      </c>
      <c r="L11" t="s">
        <v>37</v>
      </c>
      <c r="M11">
        <v>0</v>
      </c>
      <c r="N11" t="s">
        <v>45</v>
      </c>
      <c r="O11">
        <v>84.9</v>
      </c>
      <c r="P11" s="2">
        <v>1248</v>
      </c>
    </row>
    <row r="12" spans="1:16" x14ac:dyDescent="0.3">
      <c r="A12" t="s">
        <v>46</v>
      </c>
      <c r="B12" t="s">
        <v>47</v>
      </c>
      <c r="C12" t="s">
        <v>31</v>
      </c>
      <c r="D12" t="s">
        <v>25</v>
      </c>
      <c r="E12">
        <v>23</v>
      </c>
      <c r="F12">
        <v>12.2</v>
      </c>
      <c r="G12">
        <v>58.2</v>
      </c>
      <c r="H12">
        <v>7.3</v>
      </c>
      <c r="I12">
        <v>7</v>
      </c>
      <c r="J12">
        <v>3</v>
      </c>
      <c r="K12" t="s">
        <v>20</v>
      </c>
      <c r="L12" t="s">
        <v>37</v>
      </c>
      <c r="M12">
        <v>2</v>
      </c>
      <c r="O12">
        <v>71.900000000000006</v>
      </c>
      <c r="P12" s="2">
        <v>1184</v>
      </c>
    </row>
    <row r="13" spans="1:16" x14ac:dyDescent="0.3">
      <c r="A13" t="s">
        <v>48</v>
      </c>
      <c r="B13" t="s">
        <v>17</v>
      </c>
      <c r="C13" t="s">
        <v>18</v>
      </c>
      <c r="D13" t="s">
        <v>19</v>
      </c>
      <c r="E13">
        <v>27</v>
      </c>
      <c r="F13">
        <v>21.9</v>
      </c>
      <c r="G13">
        <v>22.8</v>
      </c>
      <c r="H13">
        <v>6.7</v>
      </c>
      <c r="I13">
        <v>6</v>
      </c>
      <c r="J13">
        <v>5</v>
      </c>
      <c r="K13" t="s">
        <v>20</v>
      </c>
      <c r="L13" t="s">
        <v>29</v>
      </c>
      <c r="M13">
        <v>0</v>
      </c>
      <c r="N13" t="s">
        <v>45</v>
      </c>
      <c r="O13">
        <v>87.7</v>
      </c>
      <c r="P13" s="2">
        <v>1042</v>
      </c>
    </row>
    <row r="14" spans="1:16" x14ac:dyDescent="0.3">
      <c r="A14" t="s">
        <v>49</v>
      </c>
      <c r="B14" t="s">
        <v>44</v>
      </c>
      <c r="C14" t="s">
        <v>31</v>
      </c>
      <c r="D14" t="s">
        <v>25</v>
      </c>
      <c r="E14">
        <v>20</v>
      </c>
      <c r="F14">
        <v>16.5267206477732</v>
      </c>
      <c r="G14">
        <v>15.7</v>
      </c>
      <c r="H14">
        <v>6.1</v>
      </c>
      <c r="I14">
        <v>2</v>
      </c>
      <c r="J14">
        <v>5</v>
      </c>
      <c r="K14" t="s">
        <v>20</v>
      </c>
      <c r="L14" t="s">
        <v>21</v>
      </c>
      <c r="M14">
        <v>0</v>
      </c>
      <c r="N14" t="s">
        <v>27</v>
      </c>
      <c r="O14">
        <v>55.6</v>
      </c>
      <c r="P14" s="2">
        <v>1228</v>
      </c>
    </row>
    <row r="15" spans="1:16" x14ac:dyDescent="0.3">
      <c r="A15" t="s">
        <v>50</v>
      </c>
      <c r="B15" t="s">
        <v>17</v>
      </c>
      <c r="C15" t="s">
        <v>18</v>
      </c>
      <c r="D15" t="s">
        <v>19</v>
      </c>
      <c r="E15">
        <v>23</v>
      </c>
      <c r="F15">
        <v>12.3</v>
      </c>
      <c r="G15">
        <v>39.200000000000003</v>
      </c>
      <c r="H15">
        <v>6.3</v>
      </c>
      <c r="I15">
        <v>5</v>
      </c>
      <c r="J15">
        <v>5</v>
      </c>
      <c r="K15" t="s">
        <v>20</v>
      </c>
      <c r="L15" t="s">
        <v>29</v>
      </c>
      <c r="M15">
        <v>0</v>
      </c>
      <c r="N15" t="s">
        <v>38</v>
      </c>
      <c r="O15">
        <v>78.599999999999994</v>
      </c>
      <c r="P15" s="2">
        <v>1083</v>
      </c>
    </row>
    <row r="16" spans="1:16" x14ac:dyDescent="0.3">
      <c r="A16" t="s">
        <v>51</v>
      </c>
      <c r="B16" t="s">
        <v>44</v>
      </c>
      <c r="C16" t="s">
        <v>31</v>
      </c>
      <c r="D16" t="s">
        <v>19</v>
      </c>
      <c r="E16">
        <v>26</v>
      </c>
      <c r="F16">
        <v>13.1</v>
      </c>
      <c r="G16">
        <v>63.8</v>
      </c>
      <c r="H16">
        <v>7.9</v>
      </c>
      <c r="I16">
        <v>1</v>
      </c>
      <c r="J16">
        <v>5</v>
      </c>
      <c r="K16" t="s">
        <v>20</v>
      </c>
      <c r="L16" t="s">
        <v>29</v>
      </c>
      <c r="M16">
        <v>0</v>
      </c>
      <c r="O16">
        <v>74.3</v>
      </c>
      <c r="P16" s="2">
        <v>1166</v>
      </c>
    </row>
    <row r="17" spans="1:16" x14ac:dyDescent="0.3">
      <c r="A17" t="s">
        <v>52</v>
      </c>
      <c r="B17" t="s">
        <v>47</v>
      </c>
      <c r="C17" t="s">
        <v>36</v>
      </c>
      <c r="D17" t="s">
        <v>25</v>
      </c>
      <c r="E17">
        <v>25</v>
      </c>
      <c r="F17">
        <v>14.7</v>
      </c>
      <c r="G17">
        <v>13.6</v>
      </c>
      <c r="H17">
        <v>6.9</v>
      </c>
      <c r="I17">
        <v>4</v>
      </c>
      <c r="J17">
        <v>3</v>
      </c>
      <c r="K17" t="s">
        <v>20</v>
      </c>
      <c r="L17" t="s">
        <v>29</v>
      </c>
      <c r="M17">
        <v>0</v>
      </c>
      <c r="O17">
        <v>77.2</v>
      </c>
      <c r="P17" s="2">
        <v>1195</v>
      </c>
    </row>
    <row r="18" spans="1:16" x14ac:dyDescent="0.3">
      <c r="A18" t="s">
        <v>53</v>
      </c>
      <c r="B18" t="s">
        <v>44</v>
      </c>
      <c r="C18" t="s">
        <v>31</v>
      </c>
      <c r="D18" t="s">
        <v>19</v>
      </c>
      <c r="E18">
        <v>22</v>
      </c>
      <c r="F18">
        <v>16.600000000000001</v>
      </c>
      <c r="G18">
        <v>59.1</v>
      </c>
      <c r="H18">
        <v>7.5</v>
      </c>
      <c r="I18">
        <v>2</v>
      </c>
      <c r="J18">
        <v>3</v>
      </c>
      <c r="K18" t="s">
        <v>20</v>
      </c>
      <c r="L18" t="s">
        <v>29</v>
      </c>
      <c r="M18">
        <v>0</v>
      </c>
      <c r="N18" t="s">
        <v>45</v>
      </c>
      <c r="O18">
        <v>66.8</v>
      </c>
      <c r="P18" s="2">
        <v>1227</v>
      </c>
    </row>
    <row r="19" spans="1:16" x14ac:dyDescent="0.3">
      <c r="A19" t="s">
        <v>54</v>
      </c>
      <c r="B19" t="s">
        <v>17</v>
      </c>
      <c r="C19" t="s">
        <v>18</v>
      </c>
      <c r="D19" t="s">
        <v>25</v>
      </c>
      <c r="E19">
        <v>20</v>
      </c>
      <c r="F19">
        <v>18.600000000000001</v>
      </c>
      <c r="G19">
        <v>44.3</v>
      </c>
      <c r="H19">
        <v>7</v>
      </c>
      <c r="I19">
        <v>6</v>
      </c>
      <c r="J19">
        <v>2</v>
      </c>
      <c r="K19" t="s">
        <v>20</v>
      </c>
      <c r="L19" t="s">
        <v>26</v>
      </c>
      <c r="M19">
        <v>0</v>
      </c>
      <c r="N19" t="s">
        <v>27</v>
      </c>
      <c r="O19">
        <v>83.7</v>
      </c>
      <c r="P19" s="2">
        <v>1147</v>
      </c>
    </row>
    <row r="20" spans="1:16" x14ac:dyDescent="0.3">
      <c r="A20" t="s">
        <v>55</v>
      </c>
      <c r="B20" t="s">
        <v>44</v>
      </c>
      <c r="C20" t="s">
        <v>31</v>
      </c>
      <c r="D20" t="s">
        <v>25</v>
      </c>
      <c r="E20">
        <v>25</v>
      </c>
      <c r="F20">
        <v>25.9</v>
      </c>
      <c r="G20">
        <v>22.4</v>
      </c>
      <c r="H20">
        <v>7.1</v>
      </c>
      <c r="I20">
        <v>4</v>
      </c>
      <c r="J20">
        <v>3</v>
      </c>
      <c r="K20" t="s">
        <v>20</v>
      </c>
      <c r="L20" t="s">
        <v>29</v>
      </c>
      <c r="M20">
        <v>0</v>
      </c>
      <c r="N20" t="s">
        <v>38</v>
      </c>
      <c r="O20">
        <v>87.4</v>
      </c>
      <c r="P20" s="2">
        <v>1105</v>
      </c>
    </row>
    <row r="21" spans="1:16" x14ac:dyDescent="0.3">
      <c r="A21" t="s">
        <v>56</v>
      </c>
      <c r="B21" t="s">
        <v>24</v>
      </c>
      <c r="C21" t="s">
        <v>18</v>
      </c>
      <c r="D21" t="s">
        <v>19</v>
      </c>
      <c r="E21">
        <v>23</v>
      </c>
      <c r="F21">
        <v>24.3</v>
      </c>
      <c r="G21">
        <v>5</v>
      </c>
      <c r="H21">
        <v>6</v>
      </c>
      <c r="I21">
        <v>5</v>
      </c>
      <c r="J21">
        <v>5</v>
      </c>
      <c r="K21" t="s">
        <v>34</v>
      </c>
      <c r="L21" t="s">
        <v>26</v>
      </c>
      <c r="M21">
        <v>1</v>
      </c>
      <c r="N21" t="s">
        <v>27</v>
      </c>
      <c r="O21">
        <v>91.6</v>
      </c>
      <c r="P21" s="2">
        <v>1061</v>
      </c>
    </row>
    <row r="22" spans="1:16" x14ac:dyDescent="0.3">
      <c r="A22" t="s">
        <v>57</v>
      </c>
      <c r="B22" t="s">
        <v>17</v>
      </c>
      <c r="C22" t="s">
        <v>18</v>
      </c>
      <c r="D22" t="s">
        <v>19</v>
      </c>
      <c r="E22">
        <v>21</v>
      </c>
      <c r="F22">
        <v>21.2</v>
      </c>
      <c r="G22">
        <v>30.3</v>
      </c>
      <c r="H22">
        <v>7.2</v>
      </c>
      <c r="I22">
        <v>6</v>
      </c>
      <c r="J22">
        <v>5</v>
      </c>
      <c r="K22" t="s">
        <v>20</v>
      </c>
      <c r="L22" t="s">
        <v>42</v>
      </c>
      <c r="M22">
        <v>0</v>
      </c>
      <c r="N22" t="s">
        <v>27</v>
      </c>
      <c r="O22">
        <v>90</v>
      </c>
      <c r="P22" s="2">
        <v>1222</v>
      </c>
    </row>
    <row r="23" spans="1:16" x14ac:dyDescent="0.3">
      <c r="A23" t="s">
        <v>58</v>
      </c>
      <c r="B23" t="s">
        <v>33</v>
      </c>
      <c r="C23" t="s">
        <v>18</v>
      </c>
      <c r="D23" t="s">
        <v>19</v>
      </c>
      <c r="E23">
        <v>23</v>
      </c>
      <c r="F23">
        <v>9.5</v>
      </c>
      <c r="G23">
        <v>43.9</v>
      </c>
      <c r="H23">
        <v>6.6</v>
      </c>
      <c r="I23">
        <v>3</v>
      </c>
      <c r="J23">
        <v>5</v>
      </c>
      <c r="K23" t="s">
        <v>20</v>
      </c>
      <c r="L23" t="s">
        <v>37</v>
      </c>
      <c r="M23">
        <v>1</v>
      </c>
      <c r="N23" t="s">
        <v>45</v>
      </c>
      <c r="O23">
        <v>77</v>
      </c>
      <c r="P23" s="2">
        <v>1109</v>
      </c>
    </row>
    <row r="24" spans="1:16" x14ac:dyDescent="0.3">
      <c r="A24" t="s">
        <v>59</v>
      </c>
      <c r="B24" t="s">
        <v>17</v>
      </c>
      <c r="C24" t="s">
        <v>18</v>
      </c>
      <c r="D24" t="s">
        <v>25</v>
      </c>
      <c r="E24">
        <v>22</v>
      </c>
      <c r="F24">
        <v>6.4</v>
      </c>
      <c r="G24">
        <v>17.100000000000001</v>
      </c>
      <c r="H24">
        <v>7</v>
      </c>
      <c r="I24">
        <v>4</v>
      </c>
      <c r="J24">
        <v>3</v>
      </c>
      <c r="K24" t="s">
        <v>20</v>
      </c>
      <c r="L24" t="s">
        <v>26</v>
      </c>
      <c r="M24">
        <v>0</v>
      </c>
      <c r="N24" t="s">
        <v>27</v>
      </c>
      <c r="O24">
        <v>66.900000000000006</v>
      </c>
      <c r="P24" s="2">
        <v>1047</v>
      </c>
    </row>
    <row r="25" spans="1:16" x14ac:dyDescent="0.3">
      <c r="A25" t="s">
        <v>60</v>
      </c>
      <c r="B25" t="s">
        <v>17</v>
      </c>
      <c r="C25" t="s">
        <v>36</v>
      </c>
      <c r="D25" t="s">
        <v>25</v>
      </c>
      <c r="E25">
        <v>24</v>
      </c>
      <c r="F25">
        <v>13.7</v>
      </c>
      <c r="G25">
        <v>111.7</v>
      </c>
      <c r="H25">
        <v>6.9</v>
      </c>
      <c r="I25">
        <v>1</v>
      </c>
      <c r="J25">
        <v>3</v>
      </c>
      <c r="K25" t="s">
        <v>20</v>
      </c>
      <c r="L25" t="s">
        <v>29</v>
      </c>
      <c r="M25">
        <v>2</v>
      </c>
      <c r="O25">
        <v>69.400000000000006</v>
      </c>
      <c r="P25" s="2">
        <v>1043</v>
      </c>
    </row>
    <row r="26" spans="1:16" x14ac:dyDescent="0.3">
      <c r="A26" t="s">
        <v>61</v>
      </c>
      <c r="B26" t="s">
        <v>17</v>
      </c>
      <c r="C26" t="s">
        <v>62</v>
      </c>
      <c r="D26" t="s">
        <v>19</v>
      </c>
      <c r="E26">
        <v>21</v>
      </c>
      <c r="F26">
        <v>18.3</v>
      </c>
      <c r="G26">
        <v>66.400000000000006</v>
      </c>
      <c r="H26">
        <v>8.6999999999999993</v>
      </c>
      <c r="I26">
        <v>4</v>
      </c>
      <c r="J26">
        <v>3</v>
      </c>
      <c r="K26" t="s">
        <v>20</v>
      </c>
      <c r="L26" t="s">
        <v>29</v>
      </c>
      <c r="M26">
        <v>0</v>
      </c>
      <c r="O26">
        <v>85.7</v>
      </c>
      <c r="P26" s="2">
        <v>1186</v>
      </c>
    </row>
    <row r="27" spans="1:16" x14ac:dyDescent="0.3">
      <c r="A27" t="s">
        <v>63</v>
      </c>
      <c r="B27" t="s">
        <v>33</v>
      </c>
      <c r="C27" t="s">
        <v>18</v>
      </c>
      <c r="D27" t="s">
        <v>25</v>
      </c>
      <c r="E27">
        <v>24</v>
      </c>
      <c r="F27">
        <v>25.7</v>
      </c>
      <c r="G27">
        <v>10.8</v>
      </c>
      <c r="H27">
        <v>6.1</v>
      </c>
      <c r="I27">
        <v>3</v>
      </c>
      <c r="J27">
        <v>4</v>
      </c>
      <c r="K27" t="s">
        <v>20</v>
      </c>
      <c r="L27" t="s">
        <v>42</v>
      </c>
      <c r="M27">
        <v>2</v>
      </c>
      <c r="O27">
        <v>80.3</v>
      </c>
      <c r="P27" s="2">
        <v>1010</v>
      </c>
    </row>
    <row r="28" spans="1:16" x14ac:dyDescent="0.3">
      <c r="A28" t="s">
        <v>64</v>
      </c>
      <c r="B28" t="s">
        <v>33</v>
      </c>
      <c r="C28" t="s">
        <v>31</v>
      </c>
      <c r="D28" t="s">
        <v>19</v>
      </c>
      <c r="E28">
        <v>24</v>
      </c>
      <c r="F28">
        <v>21.5</v>
      </c>
      <c r="G28">
        <v>8.4</v>
      </c>
      <c r="H28">
        <v>7</v>
      </c>
      <c r="I28">
        <v>7</v>
      </c>
      <c r="J28">
        <v>5</v>
      </c>
      <c r="K28" t="s">
        <v>20</v>
      </c>
      <c r="L28" t="s">
        <v>29</v>
      </c>
      <c r="M28">
        <v>1</v>
      </c>
      <c r="O28">
        <v>91.7</v>
      </c>
      <c r="P28" s="2">
        <v>1023</v>
      </c>
    </row>
    <row r="29" spans="1:16" x14ac:dyDescent="0.3">
      <c r="A29" t="s">
        <v>65</v>
      </c>
      <c r="B29" t="s">
        <v>44</v>
      </c>
      <c r="C29" t="s">
        <v>31</v>
      </c>
      <c r="D29" t="s">
        <v>19</v>
      </c>
      <c r="E29">
        <v>23</v>
      </c>
      <c r="F29">
        <v>16.5267206477732</v>
      </c>
      <c r="G29">
        <v>35.200000000000003</v>
      </c>
      <c r="H29">
        <v>6.6</v>
      </c>
      <c r="I29">
        <v>3</v>
      </c>
      <c r="J29">
        <v>3</v>
      </c>
      <c r="K29" t="s">
        <v>20</v>
      </c>
      <c r="L29" t="s">
        <v>42</v>
      </c>
      <c r="M29">
        <v>1</v>
      </c>
      <c r="N29" t="s">
        <v>27</v>
      </c>
      <c r="O29">
        <v>75.3</v>
      </c>
      <c r="P29" s="2">
        <v>1200</v>
      </c>
    </row>
    <row r="30" spans="1:16" x14ac:dyDescent="0.3">
      <c r="A30" t="s">
        <v>66</v>
      </c>
      <c r="B30" t="s">
        <v>47</v>
      </c>
      <c r="C30" t="s">
        <v>31</v>
      </c>
      <c r="D30" t="s">
        <v>25</v>
      </c>
      <c r="E30">
        <v>20</v>
      </c>
      <c r="F30">
        <v>9.3000000000000007</v>
      </c>
      <c r="G30">
        <v>31</v>
      </c>
      <c r="H30">
        <v>6.7</v>
      </c>
      <c r="I30">
        <v>1</v>
      </c>
      <c r="J30">
        <v>4</v>
      </c>
      <c r="K30" t="s">
        <v>34</v>
      </c>
      <c r="L30" t="s">
        <v>21</v>
      </c>
      <c r="M30">
        <v>0</v>
      </c>
      <c r="N30" t="s">
        <v>38</v>
      </c>
      <c r="O30">
        <v>74.599999999999994</v>
      </c>
      <c r="P30" s="2">
        <v>1110</v>
      </c>
    </row>
    <row r="31" spans="1:16" x14ac:dyDescent="0.3">
      <c r="A31" t="s">
        <v>67</v>
      </c>
      <c r="B31" t="s">
        <v>47</v>
      </c>
      <c r="C31" t="s">
        <v>18</v>
      </c>
      <c r="D31" t="s">
        <v>19</v>
      </c>
      <c r="E31">
        <v>20</v>
      </c>
      <c r="F31">
        <v>17.7</v>
      </c>
      <c r="G31">
        <v>43.8</v>
      </c>
      <c r="H31">
        <v>6.8</v>
      </c>
      <c r="I31">
        <v>7</v>
      </c>
      <c r="J31">
        <v>4</v>
      </c>
      <c r="K31" t="s">
        <v>20</v>
      </c>
      <c r="L31" t="s">
        <v>42</v>
      </c>
      <c r="M31">
        <v>0</v>
      </c>
      <c r="N31" t="s">
        <v>22</v>
      </c>
      <c r="O31">
        <v>77.2</v>
      </c>
      <c r="P31" s="2">
        <v>1025</v>
      </c>
    </row>
    <row r="32" spans="1:16" x14ac:dyDescent="0.3">
      <c r="A32" t="s">
        <v>68</v>
      </c>
      <c r="B32" t="s">
        <v>47</v>
      </c>
      <c r="C32" t="s">
        <v>18</v>
      </c>
      <c r="D32" t="s">
        <v>25</v>
      </c>
      <c r="E32">
        <v>29</v>
      </c>
      <c r="F32">
        <v>18.8</v>
      </c>
      <c r="G32">
        <v>16.2</v>
      </c>
      <c r="H32">
        <v>5.7</v>
      </c>
      <c r="I32">
        <v>0</v>
      </c>
      <c r="J32">
        <v>3</v>
      </c>
      <c r="K32" t="s">
        <v>34</v>
      </c>
      <c r="L32" t="s">
        <v>26</v>
      </c>
      <c r="M32">
        <v>1</v>
      </c>
      <c r="N32" t="s">
        <v>38</v>
      </c>
      <c r="O32">
        <v>76.599999999999994</v>
      </c>
      <c r="P32" s="2">
        <v>1114</v>
      </c>
    </row>
    <row r="33" spans="1:16" x14ac:dyDescent="0.3">
      <c r="A33" t="s">
        <v>69</v>
      </c>
      <c r="B33" t="s">
        <v>17</v>
      </c>
      <c r="C33" t="s">
        <v>36</v>
      </c>
      <c r="D33" t="s">
        <v>19</v>
      </c>
      <c r="E33">
        <v>24</v>
      </c>
      <c r="F33">
        <v>16.5</v>
      </c>
      <c r="G33">
        <v>83</v>
      </c>
      <c r="H33">
        <v>8.1</v>
      </c>
      <c r="I33">
        <v>2</v>
      </c>
      <c r="J33">
        <v>4</v>
      </c>
      <c r="K33" t="s">
        <v>20</v>
      </c>
      <c r="L33" t="s">
        <v>26</v>
      </c>
      <c r="M33">
        <v>0</v>
      </c>
      <c r="O33">
        <v>90</v>
      </c>
      <c r="P33" s="2">
        <v>1069</v>
      </c>
    </row>
    <row r="34" spans="1:16" x14ac:dyDescent="0.3">
      <c r="A34" t="s">
        <v>70</v>
      </c>
      <c r="B34" t="s">
        <v>47</v>
      </c>
      <c r="C34" t="s">
        <v>18</v>
      </c>
      <c r="D34" t="s">
        <v>19</v>
      </c>
      <c r="E34">
        <v>25</v>
      </c>
      <c r="F34">
        <v>17.899999999999999</v>
      </c>
      <c r="G34">
        <v>12.2</v>
      </c>
      <c r="H34">
        <v>6.3</v>
      </c>
      <c r="I34">
        <v>3</v>
      </c>
      <c r="J34">
        <v>4</v>
      </c>
      <c r="K34" t="s">
        <v>20</v>
      </c>
      <c r="L34" t="s">
        <v>29</v>
      </c>
      <c r="M34">
        <v>0</v>
      </c>
      <c r="N34" t="s">
        <v>22</v>
      </c>
      <c r="O34">
        <v>84.2</v>
      </c>
      <c r="P34" s="2">
        <v>1145</v>
      </c>
    </row>
    <row r="35" spans="1:16" x14ac:dyDescent="0.3">
      <c r="A35" t="s">
        <v>71</v>
      </c>
      <c r="B35" t="s">
        <v>17</v>
      </c>
      <c r="C35" t="s">
        <v>36</v>
      </c>
      <c r="D35" t="s">
        <v>25</v>
      </c>
      <c r="E35">
        <v>28</v>
      </c>
      <c r="F35">
        <v>9.8000000000000007</v>
      </c>
      <c r="G35">
        <v>27.2</v>
      </c>
      <c r="H35">
        <v>7.8</v>
      </c>
      <c r="I35">
        <v>2</v>
      </c>
      <c r="J35">
        <v>2</v>
      </c>
      <c r="K35" t="s">
        <v>20</v>
      </c>
      <c r="L35" t="s">
        <v>37</v>
      </c>
      <c r="M35">
        <v>0</v>
      </c>
      <c r="N35" t="s">
        <v>38</v>
      </c>
      <c r="O35">
        <v>71</v>
      </c>
      <c r="P35" s="2">
        <v>1225</v>
      </c>
    </row>
    <row r="36" spans="1:16" x14ac:dyDescent="0.3">
      <c r="A36" t="s">
        <v>72</v>
      </c>
      <c r="B36" t="s">
        <v>44</v>
      </c>
      <c r="C36" t="s">
        <v>62</v>
      </c>
      <c r="D36" t="s">
        <v>19</v>
      </c>
      <c r="E36">
        <v>24</v>
      </c>
      <c r="F36">
        <v>19.7</v>
      </c>
      <c r="G36">
        <v>31.9</v>
      </c>
      <c r="H36">
        <v>7.6</v>
      </c>
      <c r="I36">
        <v>1</v>
      </c>
      <c r="J36">
        <v>4</v>
      </c>
      <c r="K36" t="s">
        <v>20</v>
      </c>
      <c r="L36" t="s">
        <v>29</v>
      </c>
      <c r="M36">
        <v>0</v>
      </c>
      <c r="N36" t="s">
        <v>38</v>
      </c>
      <c r="O36">
        <v>90.3</v>
      </c>
      <c r="P36" s="2">
        <v>1253</v>
      </c>
    </row>
    <row r="37" spans="1:16" x14ac:dyDescent="0.3">
      <c r="A37" t="s">
        <v>73</v>
      </c>
      <c r="B37" t="s">
        <v>17</v>
      </c>
      <c r="C37" t="s">
        <v>18</v>
      </c>
      <c r="D37" t="s">
        <v>25</v>
      </c>
      <c r="E37">
        <v>23</v>
      </c>
      <c r="F37">
        <v>12.7</v>
      </c>
      <c r="G37">
        <v>11.6</v>
      </c>
      <c r="H37">
        <v>6</v>
      </c>
      <c r="I37">
        <v>5</v>
      </c>
      <c r="J37">
        <v>2</v>
      </c>
      <c r="K37" t="s">
        <v>34</v>
      </c>
      <c r="L37" t="s">
        <v>37</v>
      </c>
      <c r="M37">
        <v>0</v>
      </c>
      <c r="N37" t="s">
        <v>27</v>
      </c>
      <c r="O37">
        <v>78.3</v>
      </c>
      <c r="P37" s="2">
        <v>1007</v>
      </c>
    </row>
    <row r="38" spans="1:16" x14ac:dyDescent="0.3">
      <c r="A38" t="s">
        <v>74</v>
      </c>
      <c r="B38" t="s">
        <v>33</v>
      </c>
      <c r="C38" t="s">
        <v>18</v>
      </c>
      <c r="D38" t="s">
        <v>19</v>
      </c>
      <c r="E38">
        <v>25</v>
      </c>
      <c r="F38">
        <v>16.600000000000001</v>
      </c>
      <c r="G38">
        <v>44.1</v>
      </c>
      <c r="H38">
        <v>6.6</v>
      </c>
      <c r="I38">
        <v>3</v>
      </c>
      <c r="J38">
        <v>5</v>
      </c>
      <c r="K38" t="s">
        <v>34</v>
      </c>
      <c r="L38" t="s">
        <v>29</v>
      </c>
      <c r="M38">
        <v>0</v>
      </c>
      <c r="N38" t="s">
        <v>27</v>
      </c>
      <c r="O38">
        <v>79.5</v>
      </c>
      <c r="P38" s="2">
        <v>1121</v>
      </c>
    </row>
    <row r="39" spans="1:16" x14ac:dyDescent="0.3">
      <c r="A39" t="s">
        <v>75</v>
      </c>
      <c r="B39" t="s">
        <v>24</v>
      </c>
      <c r="C39" t="s">
        <v>18</v>
      </c>
      <c r="D39" t="s">
        <v>25</v>
      </c>
      <c r="E39">
        <v>21</v>
      </c>
      <c r="F39">
        <v>14.1</v>
      </c>
      <c r="G39">
        <v>18.5</v>
      </c>
      <c r="H39">
        <v>8.1</v>
      </c>
      <c r="I39">
        <v>3</v>
      </c>
      <c r="J39">
        <v>5</v>
      </c>
      <c r="K39" t="s">
        <v>20</v>
      </c>
      <c r="L39" t="s">
        <v>21</v>
      </c>
      <c r="M39">
        <v>0</v>
      </c>
      <c r="N39" t="s">
        <v>27</v>
      </c>
      <c r="O39">
        <v>71.900000000000006</v>
      </c>
      <c r="P39" s="2">
        <v>1068</v>
      </c>
    </row>
    <row r="40" spans="1:16" x14ac:dyDescent="0.3">
      <c r="A40" t="s">
        <v>76</v>
      </c>
      <c r="B40" t="s">
        <v>17</v>
      </c>
      <c r="C40" t="s">
        <v>62</v>
      </c>
      <c r="D40" t="s">
        <v>25</v>
      </c>
      <c r="E40">
        <v>25</v>
      </c>
      <c r="F40">
        <v>2</v>
      </c>
      <c r="G40">
        <v>50.1</v>
      </c>
      <c r="H40">
        <v>8</v>
      </c>
      <c r="I40">
        <v>3</v>
      </c>
      <c r="J40">
        <v>4</v>
      </c>
      <c r="K40" t="s">
        <v>34</v>
      </c>
      <c r="L40" t="s">
        <v>29</v>
      </c>
      <c r="M40">
        <v>3</v>
      </c>
      <c r="N40" t="s">
        <v>38</v>
      </c>
      <c r="O40">
        <v>80.2</v>
      </c>
      <c r="P40" s="2">
        <v>1120</v>
      </c>
    </row>
    <row r="41" spans="1:16" x14ac:dyDescent="0.3">
      <c r="A41" t="s">
        <v>77</v>
      </c>
      <c r="B41" t="s">
        <v>44</v>
      </c>
      <c r="C41" t="s">
        <v>78</v>
      </c>
      <c r="D41" t="s">
        <v>19</v>
      </c>
      <c r="E41">
        <v>21</v>
      </c>
      <c r="F41">
        <v>14.8</v>
      </c>
      <c r="G41">
        <v>9.6999999999999993</v>
      </c>
      <c r="H41">
        <v>5.6</v>
      </c>
      <c r="I41">
        <v>0</v>
      </c>
      <c r="J41">
        <v>4</v>
      </c>
      <c r="K41" t="s">
        <v>34</v>
      </c>
      <c r="L41" t="s">
        <v>21</v>
      </c>
      <c r="M41">
        <v>1</v>
      </c>
      <c r="O41">
        <v>64.2</v>
      </c>
      <c r="P41" s="2">
        <v>1119</v>
      </c>
    </row>
    <row r="42" spans="1:16" x14ac:dyDescent="0.3">
      <c r="A42" t="s">
        <v>79</v>
      </c>
      <c r="B42" t="s">
        <v>17</v>
      </c>
      <c r="C42" t="s">
        <v>78</v>
      </c>
      <c r="D42" t="s">
        <v>25</v>
      </c>
      <c r="E42">
        <v>24</v>
      </c>
      <c r="F42">
        <v>18.600000000000001</v>
      </c>
      <c r="G42">
        <v>74.900000000000006</v>
      </c>
      <c r="H42">
        <v>5.6</v>
      </c>
      <c r="I42">
        <v>3</v>
      </c>
      <c r="J42">
        <v>3</v>
      </c>
      <c r="K42" t="s">
        <v>20</v>
      </c>
      <c r="L42" t="s">
        <v>42</v>
      </c>
      <c r="M42">
        <v>0</v>
      </c>
      <c r="N42" t="s">
        <v>22</v>
      </c>
      <c r="O42">
        <v>99</v>
      </c>
      <c r="P42" s="2">
        <v>1026</v>
      </c>
    </row>
    <row r="43" spans="1:16" x14ac:dyDescent="0.3">
      <c r="A43" t="s">
        <v>80</v>
      </c>
      <c r="B43" t="s">
        <v>17</v>
      </c>
      <c r="C43" t="s">
        <v>31</v>
      </c>
      <c r="D43" t="s">
        <v>25</v>
      </c>
      <c r="E43">
        <v>24</v>
      </c>
      <c r="F43">
        <v>19</v>
      </c>
      <c r="G43">
        <v>133.69999999999999</v>
      </c>
      <c r="H43">
        <v>6.1</v>
      </c>
      <c r="I43">
        <v>2</v>
      </c>
      <c r="J43">
        <v>3</v>
      </c>
      <c r="K43" t="s">
        <v>20</v>
      </c>
      <c r="L43" t="s">
        <v>29</v>
      </c>
      <c r="M43">
        <v>1</v>
      </c>
      <c r="N43" t="s">
        <v>27</v>
      </c>
      <c r="O43">
        <v>68.099999999999994</v>
      </c>
      <c r="P43" s="2">
        <v>1126</v>
      </c>
    </row>
    <row r="44" spans="1:16" x14ac:dyDescent="0.3">
      <c r="A44" t="s">
        <v>81</v>
      </c>
      <c r="B44" t="s">
        <v>44</v>
      </c>
      <c r="C44" t="s">
        <v>31</v>
      </c>
      <c r="D44" t="s">
        <v>19</v>
      </c>
      <c r="E44">
        <v>28</v>
      </c>
      <c r="F44">
        <v>11</v>
      </c>
      <c r="G44">
        <v>78</v>
      </c>
      <c r="H44">
        <v>8.5</v>
      </c>
      <c r="I44">
        <v>1</v>
      </c>
      <c r="J44">
        <v>1</v>
      </c>
      <c r="K44" t="s">
        <v>20</v>
      </c>
      <c r="L44" t="s">
        <v>42</v>
      </c>
      <c r="M44">
        <v>2</v>
      </c>
      <c r="N44" t="s">
        <v>45</v>
      </c>
      <c r="O44">
        <v>74.5</v>
      </c>
      <c r="P44" s="2">
        <v>1020</v>
      </c>
    </row>
    <row r="45" spans="1:16" x14ac:dyDescent="0.3">
      <c r="A45" t="s">
        <v>82</v>
      </c>
      <c r="B45" t="s">
        <v>17</v>
      </c>
      <c r="C45" t="s">
        <v>31</v>
      </c>
      <c r="D45" t="s">
        <v>25</v>
      </c>
      <c r="E45">
        <v>28</v>
      </c>
      <c r="F45">
        <v>9.6</v>
      </c>
      <c r="G45">
        <v>116.1</v>
      </c>
      <c r="H45">
        <v>6.5</v>
      </c>
      <c r="I45">
        <v>2</v>
      </c>
      <c r="J45">
        <v>4</v>
      </c>
      <c r="K45" t="s">
        <v>20</v>
      </c>
      <c r="L45" t="s">
        <v>29</v>
      </c>
      <c r="M45">
        <v>0</v>
      </c>
      <c r="N45" t="s">
        <v>38</v>
      </c>
      <c r="O45">
        <v>72.5</v>
      </c>
      <c r="P45" s="2">
        <v>1078</v>
      </c>
    </row>
    <row r="46" spans="1:16" x14ac:dyDescent="0.3">
      <c r="A46" t="s">
        <v>83</v>
      </c>
      <c r="B46" t="s">
        <v>47</v>
      </c>
      <c r="C46" t="s">
        <v>18</v>
      </c>
      <c r="D46" t="s">
        <v>25</v>
      </c>
      <c r="E46">
        <v>21</v>
      </c>
      <c r="F46">
        <v>11.9</v>
      </c>
      <c r="G46">
        <v>14.7</v>
      </c>
      <c r="H46">
        <v>7.1</v>
      </c>
      <c r="I46">
        <v>3</v>
      </c>
      <c r="J46">
        <v>5</v>
      </c>
      <c r="K46" t="s">
        <v>20</v>
      </c>
      <c r="L46" t="s">
        <v>26</v>
      </c>
      <c r="M46">
        <v>0</v>
      </c>
      <c r="N46" t="s">
        <v>22</v>
      </c>
      <c r="O46">
        <v>69.599999999999994</v>
      </c>
      <c r="P46" s="2">
        <v>1217</v>
      </c>
    </row>
    <row r="47" spans="1:16" x14ac:dyDescent="0.3">
      <c r="A47" t="s">
        <v>84</v>
      </c>
      <c r="B47" t="s">
        <v>44</v>
      </c>
      <c r="C47" t="s">
        <v>18</v>
      </c>
      <c r="D47" t="s">
        <v>25</v>
      </c>
      <c r="E47">
        <v>22</v>
      </c>
      <c r="F47">
        <v>20.100000000000001</v>
      </c>
      <c r="G47">
        <v>66.599999999999994</v>
      </c>
      <c r="H47">
        <v>5.6</v>
      </c>
      <c r="I47">
        <v>3</v>
      </c>
      <c r="J47">
        <v>2</v>
      </c>
      <c r="K47" t="s">
        <v>20</v>
      </c>
      <c r="L47" t="s">
        <v>26</v>
      </c>
      <c r="M47">
        <v>0</v>
      </c>
      <c r="N47" t="s">
        <v>85</v>
      </c>
      <c r="O47">
        <v>62.1</v>
      </c>
      <c r="P47" s="2">
        <v>1091</v>
      </c>
    </row>
    <row r="48" spans="1:16" x14ac:dyDescent="0.3">
      <c r="A48" t="s">
        <v>86</v>
      </c>
      <c r="B48" t="s">
        <v>17</v>
      </c>
      <c r="C48" t="s">
        <v>78</v>
      </c>
      <c r="D48" t="s">
        <v>25</v>
      </c>
      <c r="E48">
        <v>23</v>
      </c>
      <c r="F48">
        <v>11.8</v>
      </c>
      <c r="G48">
        <v>27.9</v>
      </c>
      <c r="H48">
        <v>8.1</v>
      </c>
      <c r="I48">
        <v>5</v>
      </c>
      <c r="J48">
        <v>2</v>
      </c>
      <c r="K48" t="s">
        <v>20</v>
      </c>
      <c r="L48" t="s">
        <v>29</v>
      </c>
      <c r="M48">
        <v>0</v>
      </c>
      <c r="N48" t="s">
        <v>27</v>
      </c>
      <c r="O48">
        <v>70</v>
      </c>
      <c r="P48" s="2">
        <v>1209</v>
      </c>
    </row>
    <row r="49" spans="1:16" x14ac:dyDescent="0.3">
      <c r="A49" t="s">
        <v>87</v>
      </c>
      <c r="B49" t="s">
        <v>24</v>
      </c>
      <c r="C49" t="s">
        <v>18</v>
      </c>
      <c r="D49" t="s">
        <v>19</v>
      </c>
      <c r="E49">
        <v>22</v>
      </c>
      <c r="F49">
        <v>11.3</v>
      </c>
      <c r="G49">
        <v>11.8</v>
      </c>
      <c r="H49">
        <v>7.1</v>
      </c>
      <c r="I49">
        <v>6</v>
      </c>
      <c r="J49">
        <v>4</v>
      </c>
      <c r="K49" t="s">
        <v>20</v>
      </c>
      <c r="L49" t="s">
        <v>37</v>
      </c>
      <c r="M49">
        <v>1</v>
      </c>
      <c r="N49" t="s">
        <v>27</v>
      </c>
      <c r="O49">
        <v>82.1</v>
      </c>
      <c r="P49" s="2">
        <v>1094</v>
      </c>
    </row>
    <row r="50" spans="1:16" x14ac:dyDescent="0.3">
      <c r="A50" t="s">
        <v>88</v>
      </c>
      <c r="B50" t="s">
        <v>17</v>
      </c>
      <c r="C50" t="s">
        <v>36</v>
      </c>
      <c r="D50" t="s">
        <v>19</v>
      </c>
      <c r="E50">
        <v>25</v>
      </c>
      <c r="F50">
        <v>9.1999999999999993</v>
      </c>
      <c r="G50">
        <v>89.5</v>
      </c>
      <c r="H50">
        <v>6.6</v>
      </c>
      <c r="I50">
        <v>3</v>
      </c>
      <c r="J50">
        <v>4</v>
      </c>
      <c r="K50" t="s">
        <v>34</v>
      </c>
      <c r="L50" t="s">
        <v>26</v>
      </c>
      <c r="M50">
        <v>0</v>
      </c>
      <c r="N50" t="s">
        <v>45</v>
      </c>
      <c r="O50">
        <v>67.599999999999994</v>
      </c>
      <c r="P50" s="2">
        <v>1181</v>
      </c>
    </row>
    <row r="51" spans="1:16" x14ac:dyDescent="0.3">
      <c r="A51" t="s">
        <v>89</v>
      </c>
      <c r="B51" t="s">
        <v>17</v>
      </c>
      <c r="C51" t="s">
        <v>78</v>
      </c>
      <c r="D51" t="s">
        <v>25</v>
      </c>
      <c r="E51">
        <v>28</v>
      </c>
      <c r="F51">
        <v>18.100000000000001</v>
      </c>
      <c r="G51">
        <v>37.200000000000003</v>
      </c>
      <c r="H51">
        <v>4.9000000000000004</v>
      </c>
      <c r="I51">
        <v>1</v>
      </c>
      <c r="J51">
        <v>2</v>
      </c>
      <c r="K51" t="s">
        <v>20</v>
      </c>
      <c r="L51" t="s">
        <v>26</v>
      </c>
      <c r="M51">
        <v>2</v>
      </c>
      <c r="N51" t="s">
        <v>38</v>
      </c>
      <c r="O51">
        <v>68.900000000000006</v>
      </c>
      <c r="P51" s="2">
        <v>1016</v>
      </c>
    </row>
    <row r="52" spans="1:16" x14ac:dyDescent="0.3">
      <c r="A52" t="s">
        <v>90</v>
      </c>
      <c r="B52" t="s">
        <v>44</v>
      </c>
      <c r="C52" t="s">
        <v>31</v>
      </c>
      <c r="D52" t="s">
        <v>25</v>
      </c>
      <c r="E52">
        <v>23</v>
      </c>
      <c r="F52">
        <v>20</v>
      </c>
      <c r="G52">
        <v>26.2</v>
      </c>
      <c r="H52">
        <v>5.4</v>
      </c>
      <c r="I52">
        <v>4</v>
      </c>
      <c r="J52">
        <v>4</v>
      </c>
      <c r="K52" t="s">
        <v>20</v>
      </c>
      <c r="L52" t="s">
        <v>29</v>
      </c>
      <c r="M52">
        <v>0</v>
      </c>
      <c r="O52">
        <v>97.4</v>
      </c>
      <c r="P52" s="2">
        <v>1153</v>
      </c>
    </row>
    <row r="53" spans="1:16" x14ac:dyDescent="0.3">
      <c r="A53" t="s">
        <v>91</v>
      </c>
      <c r="B53" t="s">
        <v>33</v>
      </c>
      <c r="C53" t="s">
        <v>78</v>
      </c>
      <c r="D53" t="s">
        <v>19</v>
      </c>
      <c r="E53">
        <v>25</v>
      </c>
      <c r="F53">
        <v>13.4</v>
      </c>
      <c r="G53">
        <v>30.7</v>
      </c>
      <c r="H53">
        <v>6.1</v>
      </c>
      <c r="I53">
        <v>7</v>
      </c>
      <c r="J53">
        <v>4</v>
      </c>
      <c r="K53" t="s">
        <v>20</v>
      </c>
      <c r="L53" t="s">
        <v>26</v>
      </c>
      <c r="M53">
        <v>2</v>
      </c>
      <c r="N53" t="s">
        <v>22</v>
      </c>
      <c r="O53">
        <v>63.9</v>
      </c>
      <c r="P53" s="2">
        <v>1233</v>
      </c>
    </row>
    <row r="54" spans="1:16" x14ac:dyDescent="0.3">
      <c r="A54" t="s">
        <v>92</v>
      </c>
      <c r="B54" t="s">
        <v>33</v>
      </c>
      <c r="C54" t="s">
        <v>31</v>
      </c>
      <c r="D54" t="s">
        <v>25</v>
      </c>
      <c r="E54">
        <v>24</v>
      </c>
      <c r="F54">
        <v>12.4</v>
      </c>
      <c r="G54">
        <v>15.6</v>
      </c>
      <c r="H54">
        <v>8.9</v>
      </c>
      <c r="I54">
        <v>5</v>
      </c>
      <c r="J54">
        <v>3</v>
      </c>
      <c r="K54" t="s">
        <v>20</v>
      </c>
      <c r="L54" t="s">
        <v>29</v>
      </c>
      <c r="M54">
        <v>0</v>
      </c>
      <c r="N54" t="s">
        <v>27</v>
      </c>
      <c r="O54">
        <v>71</v>
      </c>
      <c r="P54" s="2">
        <v>1251</v>
      </c>
    </row>
    <row r="55" spans="1:16" x14ac:dyDescent="0.3">
      <c r="A55" t="s">
        <v>93</v>
      </c>
      <c r="B55" t="s">
        <v>33</v>
      </c>
      <c r="C55" t="s">
        <v>18</v>
      </c>
      <c r="D55" t="s">
        <v>25</v>
      </c>
      <c r="E55">
        <v>20</v>
      </c>
      <c r="F55">
        <v>21.2</v>
      </c>
      <c r="G55">
        <v>30.1</v>
      </c>
      <c r="H55">
        <v>4.9000000000000004</v>
      </c>
      <c r="I55">
        <v>3</v>
      </c>
      <c r="J55">
        <v>4</v>
      </c>
      <c r="K55" t="s">
        <v>20</v>
      </c>
      <c r="L55" t="s">
        <v>42</v>
      </c>
      <c r="M55">
        <v>0</v>
      </c>
      <c r="N55" t="s">
        <v>38</v>
      </c>
      <c r="O55">
        <v>80.400000000000006</v>
      </c>
      <c r="P55" s="2">
        <v>1116</v>
      </c>
    </row>
    <row r="56" spans="1:16" x14ac:dyDescent="0.3">
      <c r="A56" t="s">
        <v>94</v>
      </c>
      <c r="B56" t="s">
        <v>33</v>
      </c>
      <c r="C56" t="s">
        <v>62</v>
      </c>
      <c r="D56" t="s">
        <v>25</v>
      </c>
      <c r="E56">
        <v>23</v>
      </c>
      <c r="F56">
        <v>17.2</v>
      </c>
      <c r="G56">
        <v>29.5</v>
      </c>
      <c r="H56">
        <v>6.4</v>
      </c>
      <c r="I56">
        <v>5</v>
      </c>
      <c r="J56">
        <v>4</v>
      </c>
      <c r="K56" t="s">
        <v>20</v>
      </c>
      <c r="L56" t="s">
        <v>26</v>
      </c>
      <c r="M56">
        <v>2</v>
      </c>
      <c r="N56" t="s">
        <v>27</v>
      </c>
      <c r="O56">
        <v>87.9</v>
      </c>
      <c r="P56" s="2">
        <v>1034</v>
      </c>
    </row>
    <row r="57" spans="1:16" x14ac:dyDescent="0.3">
      <c r="A57" t="s">
        <v>95</v>
      </c>
      <c r="B57" t="s">
        <v>47</v>
      </c>
      <c r="C57" t="s">
        <v>36</v>
      </c>
      <c r="D57" t="s">
        <v>25</v>
      </c>
      <c r="E57">
        <v>24</v>
      </c>
      <c r="F57">
        <v>8.8000000000000007</v>
      </c>
      <c r="G57">
        <v>39.9</v>
      </c>
      <c r="H57">
        <v>5.9</v>
      </c>
      <c r="I57">
        <v>2</v>
      </c>
      <c r="J57">
        <v>3</v>
      </c>
      <c r="K57" t="s">
        <v>20</v>
      </c>
      <c r="L57" t="s">
        <v>26</v>
      </c>
      <c r="M57">
        <v>3</v>
      </c>
      <c r="N57" t="s">
        <v>27</v>
      </c>
      <c r="O57">
        <v>74.3</v>
      </c>
      <c r="P57" s="2">
        <v>1185</v>
      </c>
    </row>
    <row r="58" spans="1:16" x14ac:dyDescent="0.3">
      <c r="A58" t="s">
        <v>96</v>
      </c>
      <c r="B58" t="s">
        <v>47</v>
      </c>
      <c r="C58" t="s">
        <v>36</v>
      </c>
      <c r="D58" t="s">
        <v>25</v>
      </c>
      <c r="E58">
        <v>23</v>
      </c>
      <c r="F58">
        <v>13.7</v>
      </c>
      <c r="G58">
        <v>13.7</v>
      </c>
      <c r="H58">
        <v>7</v>
      </c>
      <c r="I58">
        <v>2</v>
      </c>
      <c r="J58">
        <v>4</v>
      </c>
      <c r="K58" t="s">
        <v>34</v>
      </c>
      <c r="L58" t="s">
        <v>29</v>
      </c>
      <c r="M58">
        <v>1</v>
      </c>
      <c r="N58" t="s">
        <v>27</v>
      </c>
      <c r="O58">
        <v>71.099999999999994</v>
      </c>
      <c r="P58" s="2">
        <v>1143</v>
      </c>
    </row>
    <row r="59" spans="1:16" x14ac:dyDescent="0.3">
      <c r="A59" t="s">
        <v>97</v>
      </c>
      <c r="B59" t="s">
        <v>17</v>
      </c>
      <c r="C59" t="s">
        <v>62</v>
      </c>
      <c r="D59" t="s">
        <v>19</v>
      </c>
      <c r="E59">
        <v>25</v>
      </c>
      <c r="F59">
        <v>12.4</v>
      </c>
      <c r="G59">
        <v>71.599999999999994</v>
      </c>
      <c r="H59">
        <v>6.6</v>
      </c>
      <c r="I59">
        <v>3</v>
      </c>
      <c r="J59">
        <v>3</v>
      </c>
      <c r="K59" t="s">
        <v>20</v>
      </c>
      <c r="L59" t="s">
        <v>21</v>
      </c>
      <c r="M59">
        <v>1</v>
      </c>
      <c r="N59" t="s">
        <v>45</v>
      </c>
      <c r="O59">
        <v>74.3</v>
      </c>
      <c r="P59" s="2">
        <v>1198</v>
      </c>
    </row>
    <row r="60" spans="1:16" x14ac:dyDescent="0.3">
      <c r="A60" t="s">
        <v>98</v>
      </c>
      <c r="B60" t="s">
        <v>17</v>
      </c>
      <c r="C60" t="s">
        <v>78</v>
      </c>
      <c r="D60" t="s">
        <v>19</v>
      </c>
      <c r="E60">
        <v>23</v>
      </c>
      <c r="F60">
        <v>21.5</v>
      </c>
      <c r="G60">
        <v>59.6</v>
      </c>
      <c r="H60">
        <v>8.5</v>
      </c>
      <c r="I60">
        <v>8</v>
      </c>
      <c r="J60">
        <v>3</v>
      </c>
      <c r="K60" t="s">
        <v>20</v>
      </c>
      <c r="L60" t="s">
        <v>42</v>
      </c>
      <c r="M60">
        <v>0</v>
      </c>
      <c r="O60">
        <v>85.9</v>
      </c>
      <c r="P60" s="2">
        <v>1038</v>
      </c>
    </row>
    <row r="61" spans="1:16" x14ac:dyDescent="0.3">
      <c r="A61" t="s">
        <v>99</v>
      </c>
      <c r="B61" t="s">
        <v>47</v>
      </c>
      <c r="C61" t="s">
        <v>78</v>
      </c>
      <c r="D61" t="s">
        <v>19</v>
      </c>
      <c r="E61">
        <v>29</v>
      </c>
      <c r="F61">
        <v>6.8</v>
      </c>
      <c r="G61">
        <v>17</v>
      </c>
      <c r="H61">
        <v>6.6</v>
      </c>
      <c r="I61">
        <v>4</v>
      </c>
      <c r="J61">
        <v>4</v>
      </c>
      <c r="K61" t="s">
        <v>20</v>
      </c>
      <c r="L61" t="s">
        <v>29</v>
      </c>
      <c r="M61">
        <v>0</v>
      </c>
      <c r="O61">
        <v>65.400000000000006</v>
      </c>
      <c r="P61" s="2">
        <v>1017</v>
      </c>
    </row>
    <row r="62" spans="1:16" x14ac:dyDescent="0.3">
      <c r="A62" t="s">
        <v>100</v>
      </c>
      <c r="B62" t="s">
        <v>24</v>
      </c>
      <c r="C62" t="s">
        <v>31</v>
      </c>
      <c r="D62" t="s">
        <v>25</v>
      </c>
      <c r="E62">
        <v>25</v>
      </c>
      <c r="F62">
        <v>18.100000000000001</v>
      </c>
      <c r="G62">
        <v>44.5</v>
      </c>
      <c r="H62">
        <v>7.6</v>
      </c>
      <c r="I62">
        <v>7</v>
      </c>
      <c r="J62">
        <v>4</v>
      </c>
      <c r="K62" t="s">
        <v>20</v>
      </c>
      <c r="L62" t="s">
        <v>29</v>
      </c>
      <c r="M62">
        <v>1</v>
      </c>
      <c r="O62">
        <v>75.7</v>
      </c>
      <c r="P62" s="2">
        <v>1076</v>
      </c>
    </row>
    <row r="63" spans="1:16" x14ac:dyDescent="0.3">
      <c r="A63" t="s">
        <v>101</v>
      </c>
      <c r="B63" t="s">
        <v>33</v>
      </c>
      <c r="C63" t="s">
        <v>18</v>
      </c>
      <c r="D63" t="s">
        <v>25</v>
      </c>
      <c r="E63">
        <v>23</v>
      </c>
      <c r="F63">
        <v>15.6</v>
      </c>
      <c r="G63">
        <v>22.4</v>
      </c>
      <c r="H63">
        <v>6.5</v>
      </c>
      <c r="I63">
        <v>2</v>
      </c>
      <c r="J63">
        <v>4</v>
      </c>
      <c r="K63" t="s">
        <v>20</v>
      </c>
      <c r="L63" t="s">
        <v>21</v>
      </c>
      <c r="M63">
        <v>0</v>
      </c>
      <c r="O63">
        <v>78.099999999999994</v>
      </c>
      <c r="P63" s="2">
        <v>1149</v>
      </c>
    </row>
    <row r="64" spans="1:16" x14ac:dyDescent="0.3">
      <c r="A64" t="s">
        <v>102</v>
      </c>
      <c r="B64" t="s">
        <v>33</v>
      </c>
      <c r="C64" t="s">
        <v>18</v>
      </c>
      <c r="D64" t="s">
        <v>19</v>
      </c>
      <c r="E64">
        <v>23</v>
      </c>
      <c r="F64">
        <v>16.5267206477732</v>
      </c>
      <c r="G64">
        <v>39.299999999999997</v>
      </c>
      <c r="H64">
        <v>7.6</v>
      </c>
      <c r="I64">
        <v>3</v>
      </c>
      <c r="J64">
        <v>4</v>
      </c>
      <c r="K64" t="s">
        <v>34</v>
      </c>
      <c r="L64" t="s">
        <v>26</v>
      </c>
      <c r="M64">
        <v>1</v>
      </c>
      <c r="N64" t="s">
        <v>27</v>
      </c>
      <c r="O64">
        <v>74.8</v>
      </c>
      <c r="P64" s="2">
        <v>1011</v>
      </c>
    </row>
    <row r="65" spans="1:16" x14ac:dyDescent="0.3">
      <c r="A65" t="s">
        <v>103</v>
      </c>
      <c r="B65" t="s">
        <v>33</v>
      </c>
      <c r="C65" t="s">
        <v>36</v>
      </c>
      <c r="D65" t="s">
        <v>25</v>
      </c>
      <c r="E65">
        <v>22</v>
      </c>
      <c r="F65">
        <v>18.100000000000001</v>
      </c>
      <c r="G65">
        <v>59.3</v>
      </c>
      <c r="H65">
        <v>8.3000000000000007</v>
      </c>
      <c r="I65">
        <v>5</v>
      </c>
      <c r="J65">
        <v>2</v>
      </c>
      <c r="K65" t="s">
        <v>20</v>
      </c>
      <c r="L65" t="s">
        <v>29</v>
      </c>
      <c r="M65">
        <v>2</v>
      </c>
      <c r="N65" t="s">
        <v>27</v>
      </c>
      <c r="O65">
        <v>83.8</v>
      </c>
      <c r="P65" s="2">
        <v>1234</v>
      </c>
    </row>
    <row r="66" spans="1:16" x14ac:dyDescent="0.3">
      <c r="A66" t="s">
        <v>104</v>
      </c>
      <c r="B66" t="s">
        <v>24</v>
      </c>
      <c r="C66" t="s">
        <v>78</v>
      </c>
      <c r="D66" t="s">
        <v>25</v>
      </c>
      <c r="E66">
        <v>24</v>
      </c>
      <c r="F66">
        <v>16.8</v>
      </c>
      <c r="G66">
        <v>41.4</v>
      </c>
      <c r="H66">
        <v>8.6</v>
      </c>
      <c r="I66">
        <v>2</v>
      </c>
      <c r="J66">
        <v>3</v>
      </c>
      <c r="K66" t="s">
        <v>20</v>
      </c>
      <c r="L66" t="s">
        <v>21</v>
      </c>
      <c r="M66">
        <v>0</v>
      </c>
      <c r="N66" t="s">
        <v>27</v>
      </c>
      <c r="O66">
        <v>82.6</v>
      </c>
      <c r="P66" s="2">
        <v>1067</v>
      </c>
    </row>
    <row r="67" spans="1:16" x14ac:dyDescent="0.3">
      <c r="A67" t="s">
        <v>105</v>
      </c>
      <c r="B67" t="s">
        <v>44</v>
      </c>
      <c r="C67" t="s">
        <v>31</v>
      </c>
      <c r="D67" t="s">
        <v>25</v>
      </c>
      <c r="E67">
        <v>29</v>
      </c>
      <c r="F67">
        <v>14.8</v>
      </c>
      <c r="G67">
        <v>27.2</v>
      </c>
      <c r="H67">
        <v>6</v>
      </c>
      <c r="I67">
        <v>1</v>
      </c>
      <c r="J67">
        <v>4</v>
      </c>
      <c r="K67" t="s">
        <v>20</v>
      </c>
      <c r="L67" t="s">
        <v>21</v>
      </c>
      <c r="M67">
        <v>1</v>
      </c>
      <c r="O67">
        <v>75.2</v>
      </c>
      <c r="P67" s="2">
        <v>1254</v>
      </c>
    </row>
    <row r="68" spans="1:16" x14ac:dyDescent="0.3">
      <c r="A68" t="s">
        <v>106</v>
      </c>
      <c r="B68" t="s">
        <v>47</v>
      </c>
      <c r="C68" t="s">
        <v>31</v>
      </c>
      <c r="D68" t="s">
        <v>19</v>
      </c>
      <c r="E68">
        <v>27</v>
      </c>
      <c r="F68">
        <v>23.8</v>
      </c>
      <c r="G68">
        <v>32.6</v>
      </c>
      <c r="H68">
        <v>6.1</v>
      </c>
      <c r="I68">
        <v>8</v>
      </c>
      <c r="J68">
        <v>2</v>
      </c>
      <c r="K68" t="s">
        <v>20</v>
      </c>
      <c r="L68" t="s">
        <v>42</v>
      </c>
      <c r="M68">
        <v>0</v>
      </c>
      <c r="O68">
        <v>93.3</v>
      </c>
      <c r="P68" s="2">
        <v>1226</v>
      </c>
    </row>
    <row r="69" spans="1:16" x14ac:dyDescent="0.3">
      <c r="A69" t="s">
        <v>107</v>
      </c>
      <c r="B69" t="s">
        <v>44</v>
      </c>
      <c r="C69" t="s">
        <v>18</v>
      </c>
      <c r="D69" t="s">
        <v>19</v>
      </c>
      <c r="E69">
        <v>24</v>
      </c>
      <c r="F69">
        <v>19.399999999999999</v>
      </c>
      <c r="G69">
        <v>12.8</v>
      </c>
      <c r="H69">
        <v>8.8000000000000007</v>
      </c>
      <c r="I69">
        <v>2</v>
      </c>
      <c r="J69">
        <v>5</v>
      </c>
      <c r="K69" t="s">
        <v>20</v>
      </c>
      <c r="L69" t="s">
        <v>26</v>
      </c>
      <c r="M69">
        <v>0</v>
      </c>
      <c r="O69">
        <v>90.1</v>
      </c>
      <c r="P69" s="2">
        <v>1183</v>
      </c>
    </row>
    <row r="70" spans="1:16" x14ac:dyDescent="0.3">
      <c r="A70" t="s">
        <v>108</v>
      </c>
      <c r="B70" t="s">
        <v>17</v>
      </c>
      <c r="C70" t="s">
        <v>18</v>
      </c>
      <c r="D70" t="s">
        <v>19</v>
      </c>
      <c r="E70">
        <v>23</v>
      </c>
      <c r="F70">
        <v>14.7</v>
      </c>
      <c r="G70">
        <v>54.8</v>
      </c>
      <c r="H70">
        <v>5.7</v>
      </c>
      <c r="I70">
        <v>2</v>
      </c>
      <c r="J70">
        <v>3</v>
      </c>
      <c r="K70" t="s">
        <v>20</v>
      </c>
      <c r="L70" t="s">
        <v>26</v>
      </c>
      <c r="M70">
        <v>0</v>
      </c>
      <c r="O70">
        <v>77.900000000000006</v>
      </c>
      <c r="P70" s="2">
        <v>1074</v>
      </c>
    </row>
    <row r="71" spans="1:16" x14ac:dyDescent="0.3">
      <c r="A71" t="s">
        <v>109</v>
      </c>
      <c r="B71" t="s">
        <v>17</v>
      </c>
      <c r="C71" t="s">
        <v>36</v>
      </c>
      <c r="D71" t="s">
        <v>25</v>
      </c>
      <c r="E71">
        <v>24</v>
      </c>
      <c r="F71">
        <v>13.1</v>
      </c>
      <c r="G71">
        <v>25.1</v>
      </c>
      <c r="H71">
        <v>4.5999999999999996</v>
      </c>
      <c r="I71">
        <v>1</v>
      </c>
      <c r="J71">
        <v>4</v>
      </c>
      <c r="K71" t="s">
        <v>20</v>
      </c>
      <c r="L71" t="s">
        <v>37</v>
      </c>
      <c r="M71">
        <v>0</v>
      </c>
      <c r="O71">
        <v>68.400000000000006</v>
      </c>
      <c r="P71" s="2">
        <v>1019</v>
      </c>
    </row>
    <row r="72" spans="1:16" x14ac:dyDescent="0.3">
      <c r="A72" t="s">
        <v>110</v>
      </c>
      <c r="B72" t="s">
        <v>17</v>
      </c>
      <c r="C72" t="s">
        <v>62</v>
      </c>
      <c r="D72" t="s">
        <v>19</v>
      </c>
      <c r="E72">
        <v>21</v>
      </c>
      <c r="F72">
        <v>21.2</v>
      </c>
      <c r="G72">
        <v>16.100000000000001</v>
      </c>
      <c r="H72">
        <v>8.9</v>
      </c>
      <c r="I72">
        <v>4</v>
      </c>
      <c r="J72">
        <v>3</v>
      </c>
      <c r="K72" t="s">
        <v>20</v>
      </c>
      <c r="L72" t="s">
        <v>37</v>
      </c>
      <c r="M72">
        <v>1</v>
      </c>
      <c r="O72">
        <v>65.3</v>
      </c>
      <c r="P72" s="2">
        <v>1102</v>
      </c>
    </row>
    <row r="73" spans="1:16" x14ac:dyDescent="0.3">
      <c r="A73" t="s">
        <v>111</v>
      </c>
      <c r="B73" t="s">
        <v>17</v>
      </c>
      <c r="C73" t="s">
        <v>78</v>
      </c>
      <c r="D73" t="s">
        <v>25</v>
      </c>
      <c r="E73">
        <v>21</v>
      </c>
      <c r="F73">
        <v>20.399999999999999</v>
      </c>
      <c r="G73">
        <v>120.2</v>
      </c>
      <c r="H73">
        <v>8.1999999999999993</v>
      </c>
      <c r="I73">
        <v>5</v>
      </c>
      <c r="J73">
        <v>2</v>
      </c>
      <c r="K73" t="s">
        <v>34</v>
      </c>
      <c r="L73" t="s">
        <v>29</v>
      </c>
      <c r="M73">
        <v>0</v>
      </c>
      <c r="N73" t="s">
        <v>27</v>
      </c>
      <c r="O73">
        <v>80.2</v>
      </c>
      <c r="P73" s="2">
        <v>1196</v>
      </c>
    </row>
    <row r="74" spans="1:16" x14ac:dyDescent="0.3">
      <c r="A74" t="s">
        <v>112</v>
      </c>
      <c r="B74" t="s">
        <v>47</v>
      </c>
      <c r="C74" t="s">
        <v>18</v>
      </c>
      <c r="D74" t="s">
        <v>19</v>
      </c>
      <c r="E74">
        <v>21</v>
      </c>
      <c r="F74">
        <v>10.5</v>
      </c>
      <c r="G74">
        <v>79.7</v>
      </c>
      <c r="H74">
        <v>9.1</v>
      </c>
      <c r="I74">
        <v>2</v>
      </c>
      <c r="J74">
        <v>5</v>
      </c>
      <c r="K74" t="s">
        <v>34</v>
      </c>
      <c r="L74" t="s">
        <v>26</v>
      </c>
      <c r="M74">
        <v>0</v>
      </c>
      <c r="N74" t="s">
        <v>45</v>
      </c>
      <c r="O74">
        <v>57.6</v>
      </c>
      <c r="P74" s="2">
        <v>1113</v>
      </c>
    </row>
    <row r="75" spans="1:16" x14ac:dyDescent="0.3">
      <c r="A75" t="s">
        <v>113</v>
      </c>
      <c r="B75" t="s">
        <v>33</v>
      </c>
      <c r="C75" t="s">
        <v>36</v>
      </c>
      <c r="D75" t="s">
        <v>25</v>
      </c>
      <c r="E75">
        <v>20</v>
      </c>
      <c r="F75">
        <v>16.8</v>
      </c>
      <c r="G75">
        <v>29.1</v>
      </c>
      <c r="H75">
        <v>6.8</v>
      </c>
      <c r="I75">
        <v>1</v>
      </c>
      <c r="J75">
        <v>2</v>
      </c>
      <c r="K75" t="s">
        <v>20</v>
      </c>
      <c r="L75" t="s">
        <v>42</v>
      </c>
      <c r="M75">
        <v>0</v>
      </c>
      <c r="N75" t="s">
        <v>27</v>
      </c>
      <c r="O75">
        <v>73.5</v>
      </c>
      <c r="P75" s="2">
        <v>1171</v>
      </c>
    </row>
    <row r="76" spans="1:16" x14ac:dyDescent="0.3">
      <c r="A76" t="s">
        <v>114</v>
      </c>
      <c r="B76" t="s">
        <v>17</v>
      </c>
      <c r="C76" t="s">
        <v>18</v>
      </c>
      <c r="D76" t="s">
        <v>19</v>
      </c>
      <c r="E76">
        <v>21</v>
      </c>
      <c r="F76">
        <v>23.7</v>
      </c>
      <c r="G76">
        <v>37.9</v>
      </c>
      <c r="H76">
        <v>5.9</v>
      </c>
      <c r="I76">
        <v>4</v>
      </c>
      <c r="J76">
        <v>5</v>
      </c>
      <c r="K76" t="s">
        <v>20</v>
      </c>
      <c r="L76" t="s">
        <v>37</v>
      </c>
      <c r="M76">
        <v>0</v>
      </c>
      <c r="N76" t="s">
        <v>45</v>
      </c>
      <c r="O76">
        <v>90.5</v>
      </c>
      <c r="P76" s="2">
        <v>1087</v>
      </c>
    </row>
    <row r="77" spans="1:16" x14ac:dyDescent="0.3">
      <c r="A77" t="s">
        <v>115</v>
      </c>
      <c r="B77" t="s">
        <v>17</v>
      </c>
      <c r="C77" t="s">
        <v>36</v>
      </c>
      <c r="D77" t="s">
        <v>25</v>
      </c>
      <c r="E77">
        <v>23</v>
      </c>
      <c r="F77">
        <v>11.4</v>
      </c>
      <c r="G77">
        <v>16.600000000000001</v>
      </c>
      <c r="H77">
        <v>6</v>
      </c>
      <c r="I77">
        <v>3</v>
      </c>
      <c r="J77">
        <v>3</v>
      </c>
      <c r="K77" t="s">
        <v>34</v>
      </c>
      <c r="L77" t="s">
        <v>29</v>
      </c>
      <c r="M77">
        <v>0</v>
      </c>
      <c r="N77" t="s">
        <v>27</v>
      </c>
      <c r="O77">
        <v>72.5</v>
      </c>
      <c r="P77" s="2">
        <v>1056</v>
      </c>
    </row>
    <row r="78" spans="1:16" x14ac:dyDescent="0.3">
      <c r="A78" t="s">
        <v>116</v>
      </c>
      <c r="B78" t="s">
        <v>44</v>
      </c>
      <c r="C78" t="s">
        <v>62</v>
      </c>
      <c r="D78" t="s">
        <v>19</v>
      </c>
      <c r="E78">
        <v>20</v>
      </c>
      <c r="F78">
        <v>11.3</v>
      </c>
      <c r="G78">
        <v>27.9</v>
      </c>
      <c r="H78">
        <v>7.9</v>
      </c>
      <c r="I78">
        <v>4</v>
      </c>
      <c r="J78">
        <v>4</v>
      </c>
      <c r="K78" t="s">
        <v>20</v>
      </c>
      <c r="L78" t="s">
        <v>21</v>
      </c>
      <c r="M78">
        <v>0</v>
      </c>
      <c r="N78" t="s">
        <v>38</v>
      </c>
      <c r="O78">
        <v>75.3</v>
      </c>
      <c r="P78" s="2">
        <v>1098</v>
      </c>
    </row>
    <row r="79" spans="1:16" x14ac:dyDescent="0.3">
      <c r="A79" t="s">
        <v>117</v>
      </c>
      <c r="B79" t="s">
        <v>33</v>
      </c>
      <c r="C79" t="s">
        <v>78</v>
      </c>
      <c r="D79" t="s">
        <v>25</v>
      </c>
      <c r="E79">
        <v>23</v>
      </c>
      <c r="F79">
        <v>15.6</v>
      </c>
      <c r="G79">
        <v>20.2</v>
      </c>
      <c r="H79">
        <v>6.6</v>
      </c>
      <c r="I79">
        <v>2</v>
      </c>
      <c r="J79">
        <v>5</v>
      </c>
      <c r="K79" t="s">
        <v>20</v>
      </c>
      <c r="L79" t="s">
        <v>21</v>
      </c>
      <c r="M79">
        <v>3</v>
      </c>
      <c r="N79" t="s">
        <v>85</v>
      </c>
      <c r="O79">
        <v>72.400000000000006</v>
      </c>
      <c r="P79" s="2">
        <v>1201</v>
      </c>
    </row>
    <row r="80" spans="1:16" x14ac:dyDescent="0.3">
      <c r="A80" t="s">
        <v>118</v>
      </c>
      <c r="B80" t="s">
        <v>17</v>
      </c>
      <c r="C80" t="s">
        <v>18</v>
      </c>
      <c r="D80" t="s">
        <v>19</v>
      </c>
      <c r="E80">
        <v>25</v>
      </c>
      <c r="F80">
        <v>25</v>
      </c>
      <c r="G80">
        <v>31.4</v>
      </c>
      <c r="H80">
        <v>5.8</v>
      </c>
      <c r="I80">
        <v>3</v>
      </c>
      <c r="J80">
        <v>2</v>
      </c>
      <c r="K80" t="s">
        <v>34</v>
      </c>
      <c r="L80" t="s">
        <v>37</v>
      </c>
      <c r="M80">
        <v>0</v>
      </c>
      <c r="O80">
        <v>85.2</v>
      </c>
      <c r="P80" s="2">
        <v>1039</v>
      </c>
    </row>
    <row r="81" spans="1:16" x14ac:dyDescent="0.3">
      <c r="A81" t="s">
        <v>119</v>
      </c>
      <c r="B81" t="s">
        <v>17</v>
      </c>
      <c r="C81" t="s">
        <v>78</v>
      </c>
      <c r="D81" t="s">
        <v>25</v>
      </c>
      <c r="E81">
        <v>22</v>
      </c>
      <c r="F81">
        <v>17.899999999999999</v>
      </c>
      <c r="G81">
        <v>87.2</v>
      </c>
      <c r="H81">
        <v>6.7</v>
      </c>
      <c r="I81">
        <v>6</v>
      </c>
      <c r="J81">
        <v>3</v>
      </c>
      <c r="K81" t="s">
        <v>20</v>
      </c>
      <c r="L81" t="s">
        <v>37</v>
      </c>
      <c r="M81">
        <v>0</v>
      </c>
      <c r="N81" t="s">
        <v>38</v>
      </c>
      <c r="O81">
        <v>92.7</v>
      </c>
      <c r="P81" s="2">
        <v>1155</v>
      </c>
    </row>
    <row r="82" spans="1:16" x14ac:dyDescent="0.3">
      <c r="A82" t="s">
        <v>120</v>
      </c>
      <c r="B82" t="s">
        <v>17</v>
      </c>
      <c r="C82" t="s">
        <v>18</v>
      </c>
      <c r="D82" t="s">
        <v>19</v>
      </c>
      <c r="E82">
        <v>27</v>
      </c>
      <c r="F82">
        <v>19.5</v>
      </c>
      <c r="G82">
        <v>69.400000000000006</v>
      </c>
      <c r="H82">
        <v>6.7</v>
      </c>
      <c r="I82">
        <v>3</v>
      </c>
      <c r="J82">
        <v>5</v>
      </c>
      <c r="K82" t="s">
        <v>20</v>
      </c>
      <c r="L82" t="s">
        <v>29</v>
      </c>
      <c r="M82">
        <v>2</v>
      </c>
      <c r="N82" t="s">
        <v>27</v>
      </c>
      <c r="O82">
        <v>82.1</v>
      </c>
      <c r="P82" s="2">
        <v>1085</v>
      </c>
    </row>
    <row r="83" spans="1:16" x14ac:dyDescent="0.3">
      <c r="A83" t="s">
        <v>121</v>
      </c>
      <c r="B83" t="s">
        <v>17</v>
      </c>
      <c r="C83" t="s">
        <v>31</v>
      </c>
      <c r="D83" t="s">
        <v>19</v>
      </c>
      <c r="E83">
        <v>22</v>
      </c>
      <c r="F83">
        <v>16.8</v>
      </c>
      <c r="G83">
        <v>27.7</v>
      </c>
      <c r="H83">
        <v>7.8</v>
      </c>
      <c r="I83">
        <v>5</v>
      </c>
      <c r="J83">
        <v>2</v>
      </c>
      <c r="K83" t="s">
        <v>20</v>
      </c>
      <c r="L83" t="s">
        <v>29</v>
      </c>
      <c r="M83">
        <v>0</v>
      </c>
      <c r="N83" t="s">
        <v>27</v>
      </c>
      <c r="O83">
        <v>91.3</v>
      </c>
      <c r="P83" s="2">
        <v>1252</v>
      </c>
    </row>
    <row r="84" spans="1:16" x14ac:dyDescent="0.3">
      <c r="A84" t="s">
        <v>122</v>
      </c>
      <c r="B84" t="s">
        <v>17</v>
      </c>
      <c r="C84" t="s">
        <v>31</v>
      </c>
      <c r="D84" t="s">
        <v>25</v>
      </c>
      <c r="E84">
        <v>23</v>
      </c>
      <c r="F84">
        <v>17.600000000000001</v>
      </c>
      <c r="G84">
        <v>23.1</v>
      </c>
      <c r="H84">
        <v>6.9</v>
      </c>
      <c r="I84">
        <v>2</v>
      </c>
      <c r="J84">
        <v>5</v>
      </c>
      <c r="K84" t="s">
        <v>20</v>
      </c>
      <c r="L84" t="s">
        <v>26</v>
      </c>
      <c r="M84">
        <v>0</v>
      </c>
      <c r="O84">
        <v>80.5</v>
      </c>
      <c r="P84" s="2">
        <v>1093</v>
      </c>
    </row>
    <row r="85" spans="1:16" x14ac:dyDescent="0.3">
      <c r="A85" t="s">
        <v>123</v>
      </c>
      <c r="B85" t="s">
        <v>24</v>
      </c>
      <c r="C85" t="s">
        <v>18</v>
      </c>
      <c r="D85" t="s">
        <v>19</v>
      </c>
      <c r="E85">
        <v>23</v>
      </c>
      <c r="F85">
        <v>18.5</v>
      </c>
      <c r="G85">
        <v>15.6</v>
      </c>
      <c r="H85">
        <v>8.9</v>
      </c>
      <c r="I85">
        <v>2</v>
      </c>
      <c r="J85">
        <v>5</v>
      </c>
      <c r="K85" t="s">
        <v>20</v>
      </c>
      <c r="L85" t="s">
        <v>21</v>
      </c>
      <c r="M85">
        <v>0</v>
      </c>
      <c r="N85" t="s">
        <v>85</v>
      </c>
      <c r="O85">
        <v>80.2</v>
      </c>
      <c r="P85" s="2">
        <v>1202</v>
      </c>
    </row>
    <row r="86" spans="1:16" x14ac:dyDescent="0.3">
      <c r="A86" t="s">
        <v>124</v>
      </c>
      <c r="B86" t="s">
        <v>44</v>
      </c>
      <c r="C86" t="s">
        <v>62</v>
      </c>
      <c r="D86" t="s">
        <v>19</v>
      </c>
      <c r="E86">
        <v>23</v>
      </c>
      <c r="F86">
        <v>23.6</v>
      </c>
      <c r="G86">
        <v>21.1</v>
      </c>
      <c r="H86">
        <v>7.8</v>
      </c>
      <c r="I86">
        <v>2</v>
      </c>
      <c r="J86">
        <v>5</v>
      </c>
      <c r="K86" t="s">
        <v>34</v>
      </c>
      <c r="L86" t="s">
        <v>21</v>
      </c>
      <c r="M86">
        <v>0</v>
      </c>
      <c r="N86" t="s">
        <v>27</v>
      </c>
      <c r="O86">
        <v>84.3</v>
      </c>
      <c r="P86" s="2">
        <v>1127</v>
      </c>
    </row>
    <row r="87" spans="1:16" x14ac:dyDescent="0.3">
      <c r="A87" t="s">
        <v>125</v>
      </c>
      <c r="B87" t="s">
        <v>44</v>
      </c>
      <c r="C87" t="s">
        <v>18</v>
      </c>
      <c r="D87" t="s">
        <v>19</v>
      </c>
      <c r="E87">
        <v>26</v>
      </c>
      <c r="F87">
        <v>15.5</v>
      </c>
      <c r="G87">
        <v>68.8</v>
      </c>
      <c r="H87">
        <v>8.5</v>
      </c>
      <c r="I87">
        <v>3</v>
      </c>
      <c r="J87">
        <v>2</v>
      </c>
      <c r="K87" t="s">
        <v>20</v>
      </c>
      <c r="L87" t="s">
        <v>29</v>
      </c>
      <c r="M87">
        <v>1</v>
      </c>
      <c r="N87" t="s">
        <v>85</v>
      </c>
      <c r="O87">
        <v>84.5</v>
      </c>
      <c r="P87" s="2">
        <v>1125</v>
      </c>
    </row>
    <row r="88" spans="1:16" x14ac:dyDescent="0.3">
      <c r="A88" t="s">
        <v>126</v>
      </c>
      <c r="B88" t="s">
        <v>24</v>
      </c>
      <c r="C88" t="s">
        <v>31</v>
      </c>
      <c r="D88" t="s">
        <v>19</v>
      </c>
      <c r="E88">
        <v>21</v>
      </c>
      <c r="F88">
        <v>20.3</v>
      </c>
      <c r="G88">
        <v>50</v>
      </c>
      <c r="H88">
        <v>5.3</v>
      </c>
      <c r="I88">
        <v>2</v>
      </c>
      <c r="J88">
        <v>4</v>
      </c>
      <c r="K88" t="s">
        <v>20</v>
      </c>
      <c r="L88" t="s">
        <v>29</v>
      </c>
      <c r="M88">
        <v>0</v>
      </c>
      <c r="O88">
        <v>77.7</v>
      </c>
      <c r="P88" s="2">
        <v>1079</v>
      </c>
    </row>
    <row r="89" spans="1:16" x14ac:dyDescent="0.3">
      <c r="A89" t="s">
        <v>127</v>
      </c>
      <c r="B89" t="s">
        <v>17</v>
      </c>
      <c r="C89" t="s">
        <v>62</v>
      </c>
      <c r="D89" t="s">
        <v>19</v>
      </c>
      <c r="E89">
        <v>24</v>
      </c>
      <c r="F89">
        <v>20.9</v>
      </c>
      <c r="G89">
        <v>55.7</v>
      </c>
      <c r="H89">
        <v>8.1</v>
      </c>
      <c r="I89">
        <v>3</v>
      </c>
      <c r="J89">
        <v>5</v>
      </c>
      <c r="K89" t="s">
        <v>20</v>
      </c>
      <c r="L89" t="s">
        <v>29</v>
      </c>
      <c r="M89">
        <v>0</v>
      </c>
      <c r="N89" t="s">
        <v>27</v>
      </c>
      <c r="O89">
        <v>82.5</v>
      </c>
      <c r="P89" s="2">
        <v>1182</v>
      </c>
    </row>
    <row r="90" spans="1:16" x14ac:dyDescent="0.3">
      <c r="A90" t="s">
        <v>128</v>
      </c>
      <c r="B90" t="s">
        <v>33</v>
      </c>
      <c r="C90" t="s">
        <v>18</v>
      </c>
      <c r="D90" t="s">
        <v>19</v>
      </c>
      <c r="E90">
        <v>28</v>
      </c>
      <c r="F90">
        <v>9.3000000000000007</v>
      </c>
      <c r="G90">
        <v>26</v>
      </c>
      <c r="H90">
        <v>6.3</v>
      </c>
      <c r="I90">
        <v>1</v>
      </c>
      <c r="J90">
        <v>2</v>
      </c>
      <c r="K90" t="s">
        <v>20</v>
      </c>
      <c r="L90" t="s">
        <v>26</v>
      </c>
      <c r="M90">
        <v>4</v>
      </c>
      <c r="N90" t="s">
        <v>27</v>
      </c>
      <c r="O90">
        <v>58.5</v>
      </c>
      <c r="P90" s="2">
        <v>1112</v>
      </c>
    </row>
    <row r="91" spans="1:16" x14ac:dyDescent="0.3">
      <c r="A91" t="s">
        <v>129</v>
      </c>
      <c r="B91" t="s">
        <v>17</v>
      </c>
      <c r="C91" t="s">
        <v>62</v>
      </c>
      <c r="D91" t="s">
        <v>19</v>
      </c>
      <c r="E91">
        <v>23</v>
      </c>
      <c r="F91">
        <v>20.5</v>
      </c>
      <c r="G91">
        <v>62.9</v>
      </c>
      <c r="H91">
        <v>5.0999999999999996</v>
      </c>
      <c r="I91">
        <v>3</v>
      </c>
      <c r="J91">
        <v>5</v>
      </c>
      <c r="K91" t="s">
        <v>20</v>
      </c>
      <c r="L91" t="s">
        <v>37</v>
      </c>
      <c r="M91">
        <v>2</v>
      </c>
      <c r="N91" t="s">
        <v>85</v>
      </c>
      <c r="O91">
        <v>84.6</v>
      </c>
      <c r="P91" s="2">
        <v>1230</v>
      </c>
    </row>
    <row r="92" spans="1:16" x14ac:dyDescent="0.3">
      <c r="A92" t="s">
        <v>130</v>
      </c>
      <c r="B92" t="s">
        <v>44</v>
      </c>
      <c r="C92" t="s">
        <v>31</v>
      </c>
      <c r="D92" t="s">
        <v>25</v>
      </c>
      <c r="E92">
        <v>25</v>
      </c>
      <c r="F92">
        <v>13.1</v>
      </c>
      <c r="G92">
        <v>10.1</v>
      </c>
      <c r="H92">
        <v>6</v>
      </c>
      <c r="I92">
        <v>0</v>
      </c>
      <c r="J92">
        <v>5</v>
      </c>
      <c r="K92" t="s">
        <v>20</v>
      </c>
      <c r="L92" t="s">
        <v>21</v>
      </c>
      <c r="M92">
        <v>0</v>
      </c>
      <c r="N92" t="s">
        <v>38</v>
      </c>
      <c r="O92">
        <v>77.900000000000006</v>
      </c>
      <c r="P92" s="2">
        <v>1259</v>
      </c>
    </row>
    <row r="93" spans="1:16" x14ac:dyDescent="0.3">
      <c r="A93" t="s">
        <v>131</v>
      </c>
      <c r="B93" t="s">
        <v>44</v>
      </c>
      <c r="C93" t="s">
        <v>31</v>
      </c>
      <c r="D93" t="s">
        <v>19</v>
      </c>
      <c r="E93">
        <v>26</v>
      </c>
      <c r="F93">
        <v>8.9</v>
      </c>
      <c r="G93">
        <v>63.3</v>
      </c>
      <c r="H93">
        <v>7.2</v>
      </c>
      <c r="I93">
        <v>3</v>
      </c>
      <c r="J93">
        <v>2</v>
      </c>
      <c r="K93" t="s">
        <v>34</v>
      </c>
      <c r="L93" t="s">
        <v>37</v>
      </c>
      <c r="M93">
        <v>1</v>
      </c>
      <c r="N93" t="s">
        <v>22</v>
      </c>
      <c r="O93">
        <v>72.7</v>
      </c>
      <c r="P93" s="2">
        <v>1032</v>
      </c>
    </row>
    <row r="94" spans="1:16" x14ac:dyDescent="0.3">
      <c r="A94" t="s">
        <v>132</v>
      </c>
      <c r="B94" t="s">
        <v>17</v>
      </c>
      <c r="C94" t="s">
        <v>18</v>
      </c>
      <c r="D94" t="s">
        <v>19</v>
      </c>
      <c r="E94">
        <v>23</v>
      </c>
      <c r="F94">
        <v>16.3</v>
      </c>
      <c r="G94">
        <v>62.4</v>
      </c>
      <c r="H94">
        <v>4.4000000000000004</v>
      </c>
      <c r="I94">
        <v>6</v>
      </c>
      <c r="J94">
        <v>5</v>
      </c>
      <c r="K94" t="s">
        <v>20</v>
      </c>
      <c r="L94" t="s">
        <v>26</v>
      </c>
      <c r="M94">
        <v>0</v>
      </c>
      <c r="N94" t="s">
        <v>27</v>
      </c>
      <c r="O94">
        <v>71.7</v>
      </c>
      <c r="P94" s="2">
        <v>1211</v>
      </c>
    </row>
    <row r="95" spans="1:16" x14ac:dyDescent="0.3">
      <c r="A95" t="s">
        <v>133</v>
      </c>
      <c r="B95" t="s">
        <v>17</v>
      </c>
      <c r="C95" t="s">
        <v>18</v>
      </c>
      <c r="D95" t="s">
        <v>19</v>
      </c>
      <c r="E95">
        <v>21</v>
      </c>
      <c r="F95">
        <v>9.8000000000000007</v>
      </c>
      <c r="G95">
        <v>176</v>
      </c>
      <c r="H95">
        <v>7.6</v>
      </c>
      <c r="I95">
        <v>4</v>
      </c>
      <c r="J95">
        <v>5</v>
      </c>
      <c r="K95" t="s">
        <v>20</v>
      </c>
      <c r="L95" t="s">
        <v>29</v>
      </c>
      <c r="M95">
        <v>0</v>
      </c>
      <c r="N95" t="s">
        <v>27</v>
      </c>
      <c r="O95">
        <v>70.099999999999994</v>
      </c>
      <c r="P95" s="2">
        <v>1194</v>
      </c>
    </row>
    <row r="96" spans="1:16" x14ac:dyDescent="0.3">
      <c r="A96" t="s">
        <v>134</v>
      </c>
      <c r="B96" t="s">
        <v>47</v>
      </c>
      <c r="C96" t="s">
        <v>31</v>
      </c>
      <c r="D96" t="s">
        <v>25</v>
      </c>
      <c r="E96">
        <v>20</v>
      </c>
      <c r="F96">
        <v>23.4</v>
      </c>
      <c r="G96">
        <v>28.5</v>
      </c>
      <c r="H96">
        <v>6.6</v>
      </c>
      <c r="I96">
        <v>2</v>
      </c>
      <c r="J96">
        <v>2</v>
      </c>
      <c r="K96" t="s">
        <v>20</v>
      </c>
      <c r="L96" t="s">
        <v>26</v>
      </c>
      <c r="M96">
        <v>0</v>
      </c>
      <c r="N96" t="s">
        <v>38</v>
      </c>
      <c r="O96">
        <v>83.4</v>
      </c>
      <c r="P96" s="2">
        <v>1156</v>
      </c>
    </row>
    <row r="97" spans="1:16" x14ac:dyDescent="0.3">
      <c r="A97" t="s">
        <v>135</v>
      </c>
      <c r="B97" t="s">
        <v>44</v>
      </c>
      <c r="C97" t="s">
        <v>36</v>
      </c>
      <c r="D97" t="s">
        <v>19</v>
      </c>
      <c r="E97">
        <v>27</v>
      </c>
      <c r="F97">
        <v>11.6</v>
      </c>
      <c r="H97">
        <v>7.2</v>
      </c>
      <c r="I97">
        <v>3</v>
      </c>
      <c r="J97">
        <v>5</v>
      </c>
      <c r="K97" t="s">
        <v>20</v>
      </c>
      <c r="L97" t="s">
        <v>29</v>
      </c>
      <c r="M97">
        <v>0</v>
      </c>
      <c r="N97" t="s">
        <v>85</v>
      </c>
      <c r="O97">
        <v>78.5</v>
      </c>
      <c r="P97" s="2">
        <v>1003</v>
      </c>
    </row>
    <row r="98" spans="1:16" x14ac:dyDescent="0.3">
      <c r="A98" t="s">
        <v>136</v>
      </c>
      <c r="B98" t="s">
        <v>17</v>
      </c>
      <c r="C98" t="s">
        <v>18</v>
      </c>
      <c r="D98" t="s">
        <v>19</v>
      </c>
      <c r="E98">
        <v>25</v>
      </c>
      <c r="F98">
        <v>14.4</v>
      </c>
      <c r="G98">
        <v>67</v>
      </c>
      <c r="H98">
        <v>7.6</v>
      </c>
      <c r="I98">
        <v>7</v>
      </c>
      <c r="J98">
        <v>5</v>
      </c>
      <c r="K98" t="s">
        <v>34</v>
      </c>
      <c r="L98" t="s">
        <v>21</v>
      </c>
      <c r="M98">
        <v>0</v>
      </c>
      <c r="N98" t="s">
        <v>45</v>
      </c>
      <c r="O98">
        <v>75.400000000000006</v>
      </c>
      <c r="P98" s="2">
        <v>1077</v>
      </c>
    </row>
    <row r="99" spans="1:16" x14ac:dyDescent="0.3">
      <c r="A99" t="s">
        <v>137</v>
      </c>
      <c r="B99" t="s">
        <v>47</v>
      </c>
      <c r="C99" t="s">
        <v>78</v>
      </c>
      <c r="D99" t="s">
        <v>19</v>
      </c>
      <c r="E99">
        <v>22</v>
      </c>
      <c r="F99">
        <v>3.2</v>
      </c>
      <c r="G99">
        <v>34.299999999999997</v>
      </c>
      <c r="H99">
        <v>4.7</v>
      </c>
      <c r="I99">
        <v>2</v>
      </c>
      <c r="J99">
        <v>3</v>
      </c>
      <c r="K99" t="s">
        <v>20</v>
      </c>
      <c r="L99" t="s">
        <v>21</v>
      </c>
      <c r="M99">
        <v>3</v>
      </c>
      <c r="N99" t="s">
        <v>38</v>
      </c>
      <c r="O99">
        <v>66.2</v>
      </c>
      <c r="P99" s="2">
        <v>1148</v>
      </c>
    </row>
    <row r="100" spans="1:16" x14ac:dyDescent="0.3">
      <c r="A100" t="s">
        <v>138</v>
      </c>
      <c r="B100" t="s">
        <v>17</v>
      </c>
      <c r="C100" t="s">
        <v>62</v>
      </c>
      <c r="D100" t="s">
        <v>19</v>
      </c>
      <c r="E100">
        <v>23</v>
      </c>
      <c r="F100">
        <v>9.5</v>
      </c>
      <c r="G100">
        <v>18</v>
      </c>
      <c r="H100">
        <v>7.6</v>
      </c>
      <c r="I100">
        <v>3</v>
      </c>
      <c r="J100">
        <v>3</v>
      </c>
      <c r="K100" t="s">
        <v>20</v>
      </c>
      <c r="L100" t="s">
        <v>29</v>
      </c>
      <c r="M100">
        <v>0</v>
      </c>
      <c r="N100" t="s">
        <v>38</v>
      </c>
      <c r="O100">
        <v>74.400000000000006</v>
      </c>
      <c r="P100" s="2">
        <v>1140</v>
      </c>
    </row>
    <row r="101" spans="1:16" x14ac:dyDescent="0.3">
      <c r="A101" t="s">
        <v>139</v>
      </c>
      <c r="B101" t="s">
        <v>44</v>
      </c>
      <c r="C101" t="s">
        <v>36</v>
      </c>
      <c r="D101" t="s">
        <v>25</v>
      </c>
      <c r="E101">
        <v>24</v>
      </c>
      <c r="F101">
        <v>17.899999999999999</v>
      </c>
      <c r="G101">
        <v>45.4</v>
      </c>
      <c r="H101">
        <v>6</v>
      </c>
      <c r="I101">
        <v>1</v>
      </c>
      <c r="J101">
        <v>2</v>
      </c>
      <c r="K101" t="s">
        <v>34</v>
      </c>
      <c r="L101" t="s">
        <v>21</v>
      </c>
      <c r="M101">
        <v>2</v>
      </c>
      <c r="N101" t="s">
        <v>85</v>
      </c>
      <c r="O101">
        <v>70.900000000000006</v>
      </c>
      <c r="P101" s="2">
        <v>1144</v>
      </c>
    </row>
    <row r="102" spans="1:16" x14ac:dyDescent="0.3">
      <c r="A102" t="s">
        <v>140</v>
      </c>
      <c r="B102" t="s">
        <v>44</v>
      </c>
      <c r="C102" t="s">
        <v>78</v>
      </c>
      <c r="D102" t="s">
        <v>19</v>
      </c>
      <c r="E102">
        <v>21</v>
      </c>
      <c r="F102">
        <v>21.7</v>
      </c>
      <c r="G102">
        <v>13.1</v>
      </c>
      <c r="H102">
        <v>7.8</v>
      </c>
      <c r="I102">
        <v>6</v>
      </c>
      <c r="J102">
        <v>3</v>
      </c>
      <c r="K102" t="s">
        <v>20</v>
      </c>
      <c r="L102" t="s">
        <v>29</v>
      </c>
      <c r="M102">
        <v>0</v>
      </c>
      <c r="N102" t="s">
        <v>45</v>
      </c>
      <c r="O102">
        <v>90.2</v>
      </c>
      <c r="P102" s="2">
        <v>1097</v>
      </c>
    </row>
    <row r="103" spans="1:16" x14ac:dyDescent="0.3">
      <c r="A103" t="s">
        <v>141</v>
      </c>
      <c r="B103" t="s">
        <v>17</v>
      </c>
      <c r="C103" t="s">
        <v>78</v>
      </c>
      <c r="D103" t="s">
        <v>19</v>
      </c>
      <c r="E103">
        <v>24</v>
      </c>
      <c r="F103">
        <v>14</v>
      </c>
      <c r="G103">
        <v>30.2</v>
      </c>
      <c r="H103">
        <v>6.5</v>
      </c>
      <c r="I103">
        <v>4</v>
      </c>
      <c r="J103">
        <v>3</v>
      </c>
      <c r="K103" t="s">
        <v>20</v>
      </c>
      <c r="L103" t="s">
        <v>26</v>
      </c>
      <c r="M103">
        <v>1</v>
      </c>
      <c r="N103" t="s">
        <v>27</v>
      </c>
      <c r="O103">
        <v>72.900000000000006</v>
      </c>
      <c r="P103" s="2">
        <v>1141</v>
      </c>
    </row>
    <row r="104" spans="1:16" x14ac:dyDescent="0.3">
      <c r="A104" t="s">
        <v>142</v>
      </c>
      <c r="B104" t="s">
        <v>17</v>
      </c>
      <c r="C104" t="s">
        <v>18</v>
      </c>
      <c r="D104" t="s">
        <v>19</v>
      </c>
      <c r="E104">
        <v>27</v>
      </c>
      <c r="F104">
        <v>22.2</v>
      </c>
      <c r="G104">
        <v>70.900000000000006</v>
      </c>
      <c r="H104">
        <v>6.5</v>
      </c>
      <c r="I104">
        <v>4</v>
      </c>
      <c r="J104">
        <v>4</v>
      </c>
      <c r="K104" t="s">
        <v>20</v>
      </c>
      <c r="L104" t="s">
        <v>37</v>
      </c>
      <c r="M104">
        <v>2</v>
      </c>
      <c r="N104" t="s">
        <v>27</v>
      </c>
      <c r="O104">
        <v>87.9</v>
      </c>
      <c r="P104" s="2">
        <v>1174</v>
      </c>
    </row>
    <row r="105" spans="1:16" x14ac:dyDescent="0.3">
      <c r="A105" t="s">
        <v>143</v>
      </c>
      <c r="B105" t="s">
        <v>17</v>
      </c>
      <c r="C105" t="s">
        <v>18</v>
      </c>
      <c r="D105" t="s">
        <v>25</v>
      </c>
      <c r="E105">
        <v>24</v>
      </c>
      <c r="F105">
        <v>17.399999999999999</v>
      </c>
      <c r="G105">
        <v>66.8</v>
      </c>
      <c r="H105">
        <v>8</v>
      </c>
      <c r="I105">
        <v>3</v>
      </c>
      <c r="J105">
        <v>3</v>
      </c>
      <c r="K105" t="s">
        <v>20</v>
      </c>
      <c r="L105" t="s">
        <v>26</v>
      </c>
      <c r="M105">
        <v>0</v>
      </c>
      <c r="N105" t="s">
        <v>38</v>
      </c>
      <c r="O105">
        <v>86.3</v>
      </c>
      <c r="P105" s="2">
        <v>1075</v>
      </c>
    </row>
    <row r="106" spans="1:16" x14ac:dyDescent="0.3">
      <c r="A106" t="s">
        <v>144</v>
      </c>
      <c r="B106" t="s">
        <v>17</v>
      </c>
      <c r="C106" t="s">
        <v>78</v>
      </c>
      <c r="D106" t="s">
        <v>19</v>
      </c>
      <c r="E106">
        <v>25</v>
      </c>
      <c r="F106">
        <v>9.1</v>
      </c>
      <c r="G106">
        <v>38.9</v>
      </c>
      <c r="H106">
        <v>6.6</v>
      </c>
      <c r="I106">
        <v>1</v>
      </c>
      <c r="J106">
        <v>2</v>
      </c>
      <c r="K106" t="s">
        <v>20</v>
      </c>
      <c r="L106" t="s">
        <v>21</v>
      </c>
      <c r="M106">
        <v>2</v>
      </c>
      <c r="O106">
        <v>74.3</v>
      </c>
      <c r="P106" s="2">
        <v>1118</v>
      </c>
    </row>
    <row r="107" spans="1:16" x14ac:dyDescent="0.3">
      <c r="A107" t="s">
        <v>145</v>
      </c>
      <c r="B107" t="s">
        <v>17</v>
      </c>
      <c r="C107" t="s">
        <v>78</v>
      </c>
      <c r="D107" t="s">
        <v>25</v>
      </c>
      <c r="E107">
        <v>23</v>
      </c>
      <c r="F107">
        <v>24.2</v>
      </c>
      <c r="G107">
        <v>74.400000000000006</v>
      </c>
      <c r="H107">
        <v>7.1</v>
      </c>
      <c r="I107">
        <v>3</v>
      </c>
      <c r="J107">
        <v>5</v>
      </c>
      <c r="K107" t="s">
        <v>20</v>
      </c>
      <c r="L107" t="s">
        <v>37</v>
      </c>
      <c r="M107">
        <v>0</v>
      </c>
      <c r="N107" t="s">
        <v>85</v>
      </c>
      <c r="O107">
        <v>80.2</v>
      </c>
      <c r="P107" s="2">
        <v>1030</v>
      </c>
    </row>
    <row r="108" spans="1:16" x14ac:dyDescent="0.3">
      <c r="A108" t="s">
        <v>146</v>
      </c>
      <c r="B108" t="s">
        <v>47</v>
      </c>
      <c r="C108" t="s">
        <v>62</v>
      </c>
      <c r="D108" t="s">
        <v>25</v>
      </c>
      <c r="E108">
        <v>23</v>
      </c>
      <c r="F108">
        <v>14</v>
      </c>
      <c r="G108">
        <v>23.3</v>
      </c>
      <c r="H108">
        <v>7.6</v>
      </c>
      <c r="I108">
        <v>4</v>
      </c>
      <c r="J108">
        <v>5</v>
      </c>
      <c r="K108" t="s">
        <v>20</v>
      </c>
      <c r="L108" t="s">
        <v>42</v>
      </c>
      <c r="M108">
        <v>0</v>
      </c>
      <c r="N108" t="s">
        <v>45</v>
      </c>
      <c r="O108">
        <v>76.7</v>
      </c>
      <c r="P108" s="2">
        <v>1216</v>
      </c>
    </row>
    <row r="109" spans="1:16" x14ac:dyDescent="0.3">
      <c r="A109" t="s">
        <v>147</v>
      </c>
      <c r="B109" t="s">
        <v>17</v>
      </c>
      <c r="C109" t="s">
        <v>18</v>
      </c>
      <c r="D109" t="s">
        <v>25</v>
      </c>
      <c r="E109">
        <v>25</v>
      </c>
      <c r="F109">
        <v>16.100000000000001</v>
      </c>
      <c r="G109">
        <v>87.6</v>
      </c>
      <c r="H109">
        <v>7.4</v>
      </c>
      <c r="I109">
        <v>0</v>
      </c>
      <c r="J109">
        <v>2</v>
      </c>
      <c r="K109" t="s">
        <v>34</v>
      </c>
      <c r="L109" t="s">
        <v>21</v>
      </c>
      <c r="M109">
        <v>0</v>
      </c>
      <c r="N109" t="s">
        <v>45</v>
      </c>
      <c r="O109">
        <v>69.7</v>
      </c>
      <c r="P109" s="2">
        <v>1193</v>
      </c>
    </row>
    <row r="110" spans="1:16" x14ac:dyDescent="0.3">
      <c r="A110" t="s">
        <v>148</v>
      </c>
      <c r="B110" t="s">
        <v>47</v>
      </c>
      <c r="C110" t="s">
        <v>62</v>
      </c>
      <c r="D110" t="s">
        <v>19</v>
      </c>
      <c r="E110">
        <v>23</v>
      </c>
      <c r="F110">
        <v>23.3</v>
      </c>
      <c r="G110">
        <v>33.200000000000003</v>
      </c>
      <c r="H110">
        <v>6</v>
      </c>
      <c r="I110">
        <v>1</v>
      </c>
      <c r="J110">
        <v>2</v>
      </c>
      <c r="K110" t="s">
        <v>20</v>
      </c>
      <c r="L110" t="s">
        <v>29</v>
      </c>
      <c r="M110">
        <v>0</v>
      </c>
      <c r="N110" t="s">
        <v>27</v>
      </c>
      <c r="O110">
        <v>61.5</v>
      </c>
      <c r="P110" s="2">
        <v>1235</v>
      </c>
    </row>
    <row r="111" spans="1:16" x14ac:dyDescent="0.3">
      <c r="A111" t="s">
        <v>149</v>
      </c>
      <c r="B111" t="s">
        <v>24</v>
      </c>
      <c r="C111" t="s">
        <v>62</v>
      </c>
      <c r="D111" t="s">
        <v>19</v>
      </c>
      <c r="E111">
        <v>24</v>
      </c>
      <c r="F111">
        <v>15.6</v>
      </c>
      <c r="G111">
        <v>34.299999999999997</v>
      </c>
      <c r="H111">
        <v>6.9</v>
      </c>
      <c r="I111">
        <v>2</v>
      </c>
      <c r="J111">
        <v>4</v>
      </c>
      <c r="K111" t="s">
        <v>20</v>
      </c>
      <c r="L111" t="s">
        <v>21</v>
      </c>
      <c r="M111">
        <v>2</v>
      </c>
      <c r="O111">
        <v>82.6</v>
      </c>
      <c r="P111" s="2">
        <v>1178</v>
      </c>
    </row>
    <row r="112" spans="1:16" x14ac:dyDescent="0.3">
      <c r="A112" t="s">
        <v>150</v>
      </c>
      <c r="B112" t="s">
        <v>44</v>
      </c>
      <c r="C112" t="s">
        <v>36</v>
      </c>
      <c r="D112" t="s">
        <v>25</v>
      </c>
      <c r="E112">
        <v>20</v>
      </c>
      <c r="F112">
        <v>17.8</v>
      </c>
      <c r="G112">
        <v>15.2</v>
      </c>
      <c r="H112">
        <v>6.8</v>
      </c>
      <c r="I112">
        <v>5</v>
      </c>
      <c r="J112">
        <v>4</v>
      </c>
      <c r="K112" t="s">
        <v>34</v>
      </c>
      <c r="L112" t="s">
        <v>29</v>
      </c>
      <c r="M112">
        <v>3</v>
      </c>
      <c r="N112" t="s">
        <v>22</v>
      </c>
      <c r="O112">
        <v>86.5</v>
      </c>
      <c r="P112" s="2">
        <v>1062</v>
      </c>
    </row>
    <row r="113" spans="1:16" x14ac:dyDescent="0.3">
      <c r="A113" t="s">
        <v>151</v>
      </c>
      <c r="B113" t="s">
        <v>17</v>
      </c>
      <c r="C113" t="s">
        <v>18</v>
      </c>
      <c r="D113" t="s">
        <v>19</v>
      </c>
      <c r="E113">
        <v>20</v>
      </c>
      <c r="F113">
        <v>16.100000000000001</v>
      </c>
      <c r="G113">
        <v>55.7</v>
      </c>
      <c r="H113">
        <v>5.9</v>
      </c>
      <c r="I113">
        <v>0</v>
      </c>
      <c r="J113">
        <v>4</v>
      </c>
      <c r="K113" t="s">
        <v>34</v>
      </c>
      <c r="L113" t="s">
        <v>42</v>
      </c>
      <c r="M113">
        <v>0</v>
      </c>
      <c r="O113">
        <v>76.599999999999994</v>
      </c>
      <c r="P113" s="2">
        <v>1006</v>
      </c>
    </row>
    <row r="114" spans="1:16" x14ac:dyDescent="0.3">
      <c r="A114" t="s">
        <v>152</v>
      </c>
      <c r="B114" t="s">
        <v>17</v>
      </c>
      <c r="C114" t="s">
        <v>31</v>
      </c>
      <c r="D114" t="s">
        <v>19</v>
      </c>
      <c r="E114">
        <v>23</v>
      </c>
      <c r="F114">
        <v>12.1</v>
      </c>
      <c r="G114">
        <v>53.6</v>
      </c>
      <c r="H114">
        <v>6.7</v>
      </c>
      <c r="I114">
        <v>3</v>
      </c>
      <c r="J114">
        <v>3</v>
      </c>
      <c r="K114" t="s">
        <v>34</v>
      </c>
      <c r="L114" t="s">
        <v>21</v>
      </c>
      <c r="M114">
        <v>0</v>
      </c>
      <c r="N114" t="s">
        <v>38</v>
      </c>
      <c r="O114">
        <v>69.099999999999994</v>
      </c>
      <c r="P114" s="2">
        <v>1057</v>
      </c>
    </row>
    <row r="115" spans="1:16" x14ac:dyDescent="0.3">
      <c r="A115" t="s">
        <v>153</v>
      </c>
      <c r="B115" t="s">
        <v>17</v>
      </c>
      <c r="C115" t="s">
        <v>62</v>
      </c>
      <c r="D115" t="s">
        <v>25</v>
      </c>
      <c r="E115">
        <v>20</v>
      </c>
      <c r="F115">
        <v>21.2</v>
      </c>
      <c r="G115">
        <v>200</v>
      </c>
      <c r="H115">
        <v>7.9</v>
      </c>
      <c r="I115">
        <v>3</v>
      </c>
      <c r="J115">
        <v>5</v>
      </c>
      <c r="K115" t="s">
        <v>20</v>
      </c>
      <c r="L115" t="s">
        <v>29</v>
      </c>
      <c r="M115">
        <v>0</v>
      </c>
      <c r="N115" t="s">
        <v>22</v>
      </c>
      <c r="O115">
        <v>83.7</v>
      </c>
      <c r="P115" s="2">
        <v>1176</v>
      </c>
    </row>
    <row r="116" spans="1:16" x14ac:dyDescent="0.3">
      <c r="A116" t="s">
        <v>154</v>
      </c>
      <c r="B116" t="s">
        <v>17</v>
      </c>
      <c r="C116" t="s">
        <v>78</v>
      </c>
      <c r="D116" t="s">
        <v>25</v>
      </c>
      <c r="E116">
        <v>23</v>
      </c>
      <c r="F116">
        <v>25.2</v>
      </c>
      <c r="G116">
        <v>25.6</v>
      </c>
      <c r="H116">
        <v>5.3</v>
      </c>
      <c r="I116">
        <v>1</v>
      </c>
      <c r="J116">
        <v>3</v>
      </c>
      <c r="K116" t="s">
        <v>20</v>
      </c>
      <c r="L116" t="s">
        <v>21</v>
      </c>
      <c r="M116">
        <v>1</v>
      </c>
      <c r="N116" t="s">
        <v>27</v>
      </c>
      <c r="O116">
        <v>87</v>
      </c>
      <c r="P116" s="2">
        <v>1165</v>
      </c>
    </row>
    <row r="117" spans="1:16" x14ac:dyDescent="0.3">
      <c r="A117" t="s">
        <v>155</v>
      </c>
      <c r="B117" t="s">
        <v>17</v>
      </c>
      <c r="C117" t="s">
        <v>18</v>
      </c>
      <c r="D117" t="s">
        <v>25</v>
      </c>
      <c r="E117">
        <v>25</v>
      </c>
      <c r="F117">
        <v>19</v>
      </c>
      <c r="G117">
        <v>132</v>
      </c>
      <c r="H117">
        <v>8.9</v>
      </c>
      <c r="I117">
        <v>3</v>
      </c>
      <c r="J117">
        <v>4</v>
      </c>
      <c r="K117" t="s">
        <v>34</v>
      </c>
      <c r="L117" t="s">
        <v>26</v>
      </c>
      <c r="M117">
        <v>4</v>
      </c>
      <c r="N117" t="s">
        <v>38</v>
      </c>
      <c r="O117">
        <v>81.8</v>
      </c>
      <c r="P117" s="2">
        <v>1066</v>
      </c>
    </row>
    <row r="118" spans="1:16" x14ac:dyDescent="0.3">
      <c r="A118" t="s">
        <v>156</v>
      </c>
      <c r="B118" t="s">
        <v>17</v>
      </c>
      <c r="C118" t="s">
        <v>31</v>
      </c>
      <c r="D118" t="s">
        <v>25</v>
      </c>
      <c r="E118">
        <v>26</v>
      </c>
      <c r="F118">
        <v>16.5267206477732</v>
      </c>
      <c r="G118">
        <v>9</v>
      </c>
      <c r="H118">
        <v>6.8</v>
      </c>
      <c r="I118">
        <v>4</v>
      </c>
      <c r="J118">
        <v>2</v>
      </c>
      <c r="K118" t="s">
        <v>20</v>
      </c>
      <c r="L118" t="s">
        <v>21</v>
      </c>
      <c r="M118">
        <v>2</v>
      </c>
      <c r="O118">
        <v>67.3</v>
      </c>
      <c r="P118" s="2">
        <v>1158</v>
      </c>
    </row>
    <row r="119" spans="1:16" x14ac:dyDescent="0.3">
      <c r="A119" t="s">
        <v>157</v>
      </c>
      <c r="B119" t="s">
        <v>44</v>
      </c>
      <c r="C119" t="s">
        <v>78</v>
      </c>
      <c r="D119" t="s">
        <v>19</v>
      </c>
      <c r="E119">
        <v>26</v>
      </c>
      <c r="F119">
        <v>20.7</v>
      </c>
      <c r="G119">
        <v>11.8</v>
      </c>
      <c r="H119">
        <v>7.2</v>
      </c>
      <c r="I119">
        <v>3</v>
      </c>
      <c r="J119">
        <v>3</v>
      </c>
      <c r="K119" t="s">
        <v>20</v>
      </c>
      <c r="L119" t="s">
        <v>29</v>
      </c>
      <c r="M119">
        <v>0</v>
      </c>
      <c r="N119" t="s">
        <v>27</v>
      </c>
      <c r="O119">
        <v>83.6</v>
      </c>
      <c r="P119" s="2">
        <v>1086</v>
      </c>
    </row>
    <row r="120" spans="1:16" x14ac:dyDescent="0.3">
      <c r="A120" t="s">
        <v>158</v>
      </c>
      <c r="B120" t="s">
        <v>44</v>
      </c>
      <c r="C120" t="s">
        <v>62</v>
      </c>
      <c r="D120" t="s">
        <v>19</v>
      </c>
      <c r="E120">
        <v>25</v>
      </c>
      <c r="F120">
        <v>10.4</v>
      </c>
      <c r="G120">
        <v>39.5</v>
      </c>
      <c r="H120">
        <v>6.9</v>
      </c>
      <c r="I120">
        <v>2</v>
      </c>
      <c r="J120">
        <v>4</v>
      </c>
      <c r="K120" t="s">
        <v>20</v>
      </c>
      <c r="L120" t="s">
        <v>29</v>
      </c>
      <c r="M120">
        <v>0</v>
      </c>
      <c r="N120" t="s">
        <v>45</v>
      </c>
      <c r="O120">
        <v>70.900000000000006</v>
      </c>
      <c r="P120" s="2">
        <v>1115</v>
      </c>
    </row>
    <row r="121" spans="1:16" x14ac:dyDescent="0.3">
      <c r="A121" t="s">
        <v>159</v>
      </c>
      <c r="B121" t="s">
        <v>44</v>
      </c>
      <c r="C121" t="s">
        <v>31</v>
      </c>
      <c r="D121" t="s">
        <v>25</v>
      </c>
      <c r="E121">
        <v>22</v>
      </c>
      <c r="F121">
        <v>15</v>
      </c>
      <c r="G121">
        <v>68.2</v>
      </c>
      <c r="H121">
        <v>8.1</v>
      </c>
      <c r="I121">
        <v>2</v>
      </c>
      <c r="J121">
        <v>2</v>
      </c>
      <c r="K121" t="s">
        <v>20</v>
      </c>
      <c r="L121" t="s">
        <v>26</v>
      </c>
      <c r="M121">
        <v>3</v>
      </c>
      <c r="O121">
        <v>75.2</v>
      </c>
      <c r="P121" s="2">
        <v>1173</v>
      </c>
    </row>
    <row r="122" spans="1:16" x14ac:dyDescent="0.3">
      <c r="A122" t="s">
        <v>160</v>
      </c>
      <c r="B122" t="s">
        <v>33</v>
      </c>
      <c r="C122" t="s">
        <v>18</v>
      </c>
      <c r="D122" t="s">
        <v>19</v>
      </c>
      <c r="E122">
        <v>27</v>
      </c>
      <c r="F122">
        <v>24.8</v>
      </c>
      <c r="G122">
        <v>29.3</v>
      </c>
      <c r="H122">
        <v>7</v>
      </c>
      <c r="I122">
        <v>4</v>
      </c>
      <c r="J122">
        <v>4</v>
      </c>
      <c r="K122" t="s">
        <v>20</v>
      </c>
      <c r="L122" t="s">
        <v>37</v>
      </c>
      <c r="M122">
        <v>0</v>
      </c>
      <c r="O122">
        <v>93</v>
      </c>
      <c r="P122" s="2">
        <v>1013</v>
      </c>
    </row>
    <row r="123" spans="1:16" x14ac:dyDescent="0.3">
      <c r="A123" t="s">
        <v>161</v>
      </c>
      <c r="B123" t="s">
        <v>44</v>
      </c>
      <c r="C123" t="s">
        <v>36</v>
      </c>
      <c r="D123" t="s">
        <v>19</v>
      </c>
      <c r="E123">
        <v>25</v>
      </c>
      <c r="F123">
        <v>6.8</v>
      </c>
      <c r="G123">
        <v>62</v>
      </c>
      <c r="H123">
        <v>5.6</v>
      </c>
      <c r="I123">
        <v>3</v>
      </c>
      <c r="J123">
        <v>5</v>
      </c>
      <c r="K123" t="s">
        <v>20</v>
      </c>
      <c r="L123" t="s">
        <v>26</v>
      </c>
      <c r="M123">
        <v>0</v>
      </c>
      <c r="N123" t="s">
        <v>38</v>
      </c>
      <c r="O123">
        <v>59.1</v>
      </c>
      <c r="P123" s="2">
        <v>1036</v>
      </c>
    </row>
    <row r="124" spans="1:16" x14ac:dyDescent="0.3">
      <c r="A124" t="s">
        <v>162</v>
      </c>
      <c r="B124" t="s">
        <v>33</v>
      </c>
      <c r="C124" t="s">
        <v>31</v>
      </c>
      <c r="D124" t="s">
        <v>25</v>
      </c>
      <c r="E124">
        <v>28</v>
      </c>
      <c r="F124">
        <v>18.8</v>
      </c>
      <c r="G124">
        <v>29.5</v>
      </c>
      <c r="H124">
        <v>6.4</v>
      </c>
      <c r="I124">
        <v>0</v>
      </c>
      <c r="J124">
        <v>4</v>
      </c>
      <c r="K124" t="s">
        <v>20</v>
      </c>
      <c r="L124" t="s">
        <v>26</v>
      </c>
      <c r="M124">
        <v>2</v>
      </c>
      <c r="N124" t="s">
        <v>45</v>
      </c>
      <c r="O124">
        <v>75.7</v>
      </c>
      <c r="P124" s="2">
        <v>1133</v>
      </c>
    </row>
    <row r="125" spans="1:16" x14ac:dyDescent="0.3">
      <c r="A125" t="s">
        <v>163</v>
      </c>
      <c r="B125" t="s">
        <v>17</v>
      </c>
      <c r="C125" t="s">
        <v>36</v>
      </c>
      <c r="D125" t="s">
        <v>19</v>
      </c>
      <c r="E125">
        <v>22</v>
      </c>
      <c r="F125">
        <v>20.2</v>
      </c>
      <c r="G125">
        <v>64.099999999999994</v>
      </c>
      <c r="H125">
        <v>6.7</v>
      </c>
      <c r="I125">
        <v>5</v>
      </c>
      <c r="J125">
        <v>4</v>
      </c>
      <c r="K125" t="s">
        <v>20</v>
      </c>
      <c r="L125" t="s">
        <v>26</v>
      </c>
      <c r="M125">
        <v>0</v>
      </c>
      <c r="N125" t="s">
        <v>38</v>
      </c>
      <c r="O125">
        <v>74.900000000000006</v>
      </c>
      <c r="P125" s="2">
        <v>1052</v>
      </c>
    </row>
    <row r="126" spans="1:16" x14ac:dyDescent="0.3">
      <c r="A126" t="s">
        <v>164</v>
      </c>
      <c r="B126" t="s">
        <v>44</v>
      </c>
      <c r="C126" t="s">
        <v>18</v>
      </c>
      <c r="D126" t="s">
        <v>19</v>
      </c>
      <c r="E126">
        <v>23</v>
      </c>
      <c r="F126">
        <v>6.8</v>
      </c>
      <c r="G126">
        <v>18.100000000000001</v>
      </c>
      <c r="H126">
        <v>7.9</v>
      </c>
      <c r="I126">
        <v>6</v>
      </c>
      <c r="J126">
        <v>5</v>
      </c>
      <c r="K126" t="s">
        <v>20</v>
      </c>
      <c r="L126" t="s">
        <v>29</v>
      </c>
      <c r="M126">
        <v>0</v>
      </c>
      <c r="N126" t="s">
        <v>45</v>
      </c>
      <c r="O126">
        <v>83.4</v>
      </c>
      <c r="P126" s="2">
        <v>1096</v>
      </c>
    </row>
    <row r="127" spans="1:16" x14ac:dyDescent="0.3">
      <c r="A127" t="s">
        <v>165</v>
      </c>
      <c r="B127" t="s">
        <v>47</v>
      </c>
      <c r="C127" t="s">
        <v>18</v>
      </c>
      <c r="D127" t="s">
        <v>25</v>
      </c>
      <c r="E127">
        <v>20</v>
      </c>
      <c r="F127">
        <v>14.3</v>
      </c>
      <c r="G127">
        <v>5.4</v>
      </c>
      <c r="H127">
        <v>6.8</v>
      </c>
      <c r="I127">
        <v>2</v>
      </c>
      <c r="J127">
        <v>5</v>
      </c>
      <c r="K127" t="s">
        <v>20</v>
      </c>
      <c r="L127" t="s">
        <v>21</v>
      </c>
      <c r="M127">
        <v>2</v>
      </c>
      <c r="N127" t="s">
        <v>45</v>
      </c>
      <c r="O127">
        <v>67.3</v>
      </c>
      <c r="P127" s="2">
        <v>1168</v>
      </c>
    </row>
    <row r="128" spans="1:16" x14ac:dyDescent="0.3">
      <c r="A128" t="s">
        <v>166</v>
      </c>
      <c r="B128" t="s">
        <v>47</v>
      </c>
      <c r="C128" t="s">
        <v>78</v>
      </c>
      <c r="D128" t="s">
        <v>19</v>
      </c>
      <c r="E128">
        <v>22</v>
      </c>
      <c r="F128">
        <v>18.2</v>
      </c>
      <c r="G128">
        <v>16.100000000000001</v>
      </c>
      <c r="H128">
        <v>5.7</v>
      </c>
      <c r="I128">
        <v>5</v>
      </c>
      <c r="J128">
        <v>4</v>
      </c>
      <c r="K128" t="s">
        <v>20</v>
      </c>
      <c r="L128" t="s">
        <v>21</v>
      </c>
      <c r="M128">
        <v>0</v>
      </c>
      <c r="N128" t="s">
        <v>38</v>
      </c>
      <c r="O128">
        <v>72.900000000000006</v>
      </c>
      <c r="P128" s="2">
        <v>1180</v>
      </c>
    </row>
    <row r="129" spans="1:16" x14ac:dyDescent="0.3">
      <c r="A129" t="s">
        <v>332</v>
      </c>
      <c r="B129" t="s">
        <v>17</v>
      </c>
      <c r="C129" t="s">
        <v>31</v>
      </c>
      <c r="D129" t="s">
        <v>19</v>
      </c>
      <c r="E129">
        <v>22</v>
      </c>
      <c r="F129">
        <v>16.2</v>
      </c>
      <c r="G129">
        <v>13.4</v>
      </c>
      <c r="H129">
        <v>8.1</v>
      </c>
      <c r="I129">
        <v>2</v>
      </c>
      <c r="J129">
        <v>4</v>
      </c>
      <c r="K129" t="s">
        <v>20</v>
      </c>
      <c r="L129" t="s">
        <v>26</v>
      </c>
      <c r="M129">
        <v>0</v>
      </c>
      <c r="N129" t="s">
        <v>27</v>
      </c>
      <c r="O129">
        <v>98.8</v>
      </c>
      <c r="P129" s="2">
        <v>1247</v>
      </c>
    </row>
    <row r="130" spans="1:16" x14ac:dyDescent="0.3">
      <c r="A130" t="s">
        <v>167</v>
      </c>
      <c r="B130" t="s">
        <v>24</v>
      </c>
      <c r="C130" t="s">
        <v>31</v>
      </c>
      <c r="D130" t="s">
        <v>25</v>
      </c>
      <c r="E130">
        <v>23</v>
      </c>
      <c r="F130">
        <v>12.7</v>
      </c>
      <c r="G130">
        <v>30.4</v>
      </c>
      <c r="H130">
        <v>5.3</v>
      </c>
      <c r="I130">
        <v>4</v>
      </c>
      <c r="J130">
        <v>4</v>
      </c>
      <c r="K130" t="s">
        <v>20</v>
      </c>
      <c r="L130" t="s">
        <v>21</v>
      </c>
      <c r="M130">
        <v>0</v>
      </c>
      <c r="N130" t="s">
        <v>22</v>
      </c>
      <c r="O130">
        <v>68.7</v>
      </c>
      <c r="P130" s="2">
        <v>1177</v>
      </c>
    </row>
    <row r="131" spans="1:16" x14ac:dyDescent="0.3">
      <c r="A131" t="s">
        <v>168</v>
      </c>
      <c r="B131" t="s">
        <v>44</v>
      </c>
      <c r="C131" t="s">
        <v>78</v>
      </c>
      <c r="D131" t="s">
        <v>19</v>
      </c>
      <c r="E131">
        <v>23</v>
      </c>
      <c r="F131">
        <v>18.100000000000001</v>
      </c>
      <c r="G131">
        <v>43.1</v>
      </c>
      <c r="H131">
        <v>8.6999999999999993</v>
      </c>
      <c r="I131">
        <v>8</v>
      </c>
      <c r="J131">
        <v>2</v>
      </c>
      <c r="K131" t="s">
        <v>20</v>
      </c>
      <c r="L131" t="s">
        <v>29</v>
      </c>
      <c r="M131">
        <v>0</v>
      </c>
      <c r="O131">
        <v>88.1</v>
      </c>
      <c r="P131" s="2">
        <v>1137</v>
      </c>
    </row>
    <row r="132" spans="1:16" x14ac:dyDescent="0.3">
      <c r="A132" t="s">
        <v>169</v>
      </c>
      <c r="B132" t="s">
        <v>33</v>
      </c>
      <c r="C132" t="s">
        <v>78</v>
      </c>
      <c r="D132" t="s">
        <v>25</v>
      </c>
      <c r="E132">
        <v>21</v>
      </c>
      <c r="F132">
        <v>12.5</v>
      </c>
      <c r="G132">
        <v>15.8</v>
      </c>
      <c r="H132">
        <v>8.3000000000000007</v>
      </c>
      <c r="I132">
        <v>2</v>
      </c>
      <c r="J132">
        <v>4</v>
      </c>
      <c r="K132" t="s">
        <v>20</v>
      </c>
      <c r="L132" t="s">
        <v>26</v>
      </c>
      <c r="M132">
        <v>1</v>
      </c>
      <c r="N132" t="s">
        <v>85</v>
      </c>
      <c r="O132">
        <v>75.8</v>
      </c>
      <c r="P132" s="2">
        <v>1027</v>
      </c>
    </row>
    <row r="133" spans="1:16" x14ac:dyDescent="0.3">
      <c r="A133" t="s">
        <v>170</v>
      </c>
      <c r="B133" t="s">
        <v>44</v>
      </c>
      <c r="C133" t="s">
        <v>78</v>
      </c>
      <c r="D133" t="s">
        <v>19</v>
      </c>
      <c r="E133">
        <v>25</v>
      </c>
      <c r="F133">
        <v>12.8</v>
      </c>
      <c r="G133">
        <v>52.2</v>
      </c>
      <c r="H133">
        <v>6.4</v>
      </c>
      <c r="I133">
        <v>2</v>
      </c>
      <c r="J133">
        <v>3</v>
      </c>
      <c r="K133" t="s">
        <v>20</v>
      </c>
      <c r="L133" t="s">
        <v>29</v>
      </c>
      <c r="M133">
        <v>3</v>
      </c>
      <c r="N133" t="s">
        <v>22</v>
      </c>
      <c r="O133">
        <v>74</v>
      </c>
      <c r="P133" s="2">
        <v>1142</v>
      </c>
    </row>
    <row r="134" spans="1:16" x14ac:dyDescent="0.3">
      <c r="A134" t="s">
        <v>171</v>
      </c>
      <c r="B134" t="s">
        <v>17</v>
      </c>
      <c r="C134" t="s">
        <v>18</v>
      </c>
      <c r="D134" t="s">
        <v>25</v>
      </c>
      <c r="E134">
        <v>24</v>
      </c>
      <c r="F134">
        <v>25.8</v>
      </c>
      <c r="G134">
        <v>256.5</v>
      </c>
      <c r="H134">
        <v>6</v>
      </c>
      <c r="I134">
        <v>7</v>
      </c>
      <c r="J134">
        <v>4</v>
      </c>
      <c r="K134" t="s">
        <v>20</v>
      </c>
      <c r="L134" t="s">
        <v>21</v>
      </c>
      <c r="M134">
        <v>0</v>
      </c>
      <c r="N134" t="s">
        <v>85</v>
      </c>
      <c r="O134">
        <v>99</v>
      </c>
      <c r="P134" s="2">
        <v>1160</v>
      </c>
    </row>
    <row r="135" spans="1:16" x14ac:dyDescent="0.3">
      <c r="A135" t="s">
        <v>172</v>
      </c>
      <c r="B135" t="s">
        <v>17</v>
      </c>
      <c r="C135" t="s">
        <v>18</v>
      </c>
      <c r="D135" t="s">
        <v>25</v>
      </c>
      <c r="E135">
        <v>22</v>
      </c>
      <c r="F135">
        <v>20</v>
      </c>
      <c r="G135">
        <v>37.200000000000003</v>
      </c>
      <c r="H135">
        <v>7.6</v>
      </c>
      <c r="I135">
        <v>1</v>
      </c>
      <c r="J135">
        <v>5</v>
      </c>
      <c r="K135" t="s">
        <v>20</v>
      </c>
      <c r="L135" t="s">
        <v>29</v>
      </c>
      <c r="M135">
        <v>0</v>
      </c>
      <c r="N135" t="s">
        <v>27</v>
      </c>
      <c r="O135">
        <v>88.3</v>
      </c>
      <c r="P135" s="2">
        <v>1001</v>
      </c>
    </row>
    <row r="136" spans="1:16" x14ac:dyDescent="0.3">
      <c r="A136" t="s">
        <v>173</v>
      </c>
      <c r="B136" t="s">
        <v>44</v>
      </c>
      <c r="C136" t="s">
        <v>31</v>
      </c>
      <c r="D136" t="s">
        <v>19</v>
      </c>
      <c r="E136">
        <v>26</v>
      </c>
      <c r="F136">
        <v>21</v>
      </c>
      <c r="G136">
        <v>48</v>
      </c>
      <c r="H136">
        <v>3.8</v>
      </c>
      <c r="I136">
        <v>1</v>
      </c>
      <c r="J136">
        <v>3</v>
      </c>
      <c r="K136" t="s">
        <v>20</v>
      </c>
      <c r="L136" t="s">
        <v>37</v>
      </c>
      <c r="M136">
        <v>0</v>
      </c>
      <c r="N136" t="s">
        <v>38</v>
      </c>
      <c r="O136">
        <v>85.2</v>
      </c>
      <c r="P136" s="2">
        <v>1232</v>
      </c>
    </row>
    <row r="137" spans="1:16" x14ac:dyDescent="0.3">
      <c r="A137" t="s">
        <v>174</v>
      </c>
      <c r="B137" t="s">
        <v>17</v>
      </c>
      <c r="C137" t="s">
        <v>78</v>
      </c>
      <c r="D137" t="s">
        <v>19</v>
      </c>
      <c r="E137">
        <v>21</v>
      </c>
      <c r="F137">
        <v>12.9</v>
      </c>
      <c r="G137">
        <v>29.6</v>
      </c>
      <c r="H137">
        <v>6.9</v>
      </c>
      <c r="I137">
        <v>3</v>
      </c>
      <c r="J137">
        <v>4</v>
      </c>
      <c r="K137" t="s">
        <v>20</v>
      </c>
      <c r="L137" t="s">
        <v>21</v>
      </c>
      <c r="M137">
        <v>3</v>
      </c>
      <c r="N137" t="s">
        <v>27</v>
      </c>
      <c r="O137">
        <v>84.2</v>
      </c>
      <c r="P137" s="2">
        <v>1101</v>
      </c>
    </row>
    <row r="138" spans="1:16" x14ac:dyDescent="0.3">
      <c r="A138" t="s">
        <v>175</v>
      </c>
      <c r="B138" t="s">
        <v>17</v>
      </c>
      <c r="C138" t="s">
        <v>31</v>
      </c>
      <c r="D138" t="s">
        <v>25</v>
      </c>
      <c r="E138">
        <v>25</v>
      </c>
      <c r="F138">
        <v>17.399999999999999</v>
      </c>
      <c r="G138">
        <v>26.1</v>
      </c>
      <c r="H138">
        <v>6.4</v>
      </c>
      <c r="I138">
        <v>2</v>
      </c>
      <c r="J138">
        <v>5</v>
      </c>
      <c r="K138" t="s">
        <v>34</v>
      </c>
      <c r="L138" t="s">
        <v>29</v>
      </c>
      <c r="M138">
        <v>0</v>
      </c>
      <c r="N138" t="s">
        <v>27</v>
      </c>
      <c r="O138">
        <v>87.7</v>
      </c>
      <c r="P138" s="2">
        <v>1242</v>
      </c>
    </row>
    <row r="139" spans="1:16" x14ac:dyDescent="0.3">
      <c r="A139" t="s">
        <v>176</v>
      </c>
      <c r="B139" t="s">
        <v>17</v>
      </c>
      <c r="C139" t="s">
        <v>36</v>
      </c>
      <c r="D139" t="s">
        <v>25</v>
      </c>
      <c r="E139">
        <v>25</v>
      </c>
      <c r="F139">
        <v>5.0999999999999996</v>
      </c>
      <c r="G139">
        <v>154</v>
      </c>
      <c r="H139">
        <v>6.6</v>
      </c>
      <c r="I139">
        <v>2</v>
      </c>
      <c r="J139">
        <v>4</v>
      </c>
      <c r="K139" t="s">
        <v>20</v>
      </c>
      <c r="L139" t="s">
        <v>26</v>
      </c>
      <c r="M139">
        <v>0</v>
      </c>
      <c r="N139" t="s">
        <v>22</v>
      </c>
      <c r="O139">
        <v>50.4</v>
      </c>
      <c r="P139" s="2">
        <v>1203</v>
      </c>
    </row>
    <row r="140" spans="1:16" x14ac:dyDescent="0.3">
      <c r="A140" t="s">
        <v>177</v>
      </c>
      <c r="B140" t="s">
        <v>47</v>
      </c>
      <c r="C140" t="s">
        <v>62</v>
      </c>
      <c r="D140" t="s">
        <v>19</v>
      </c>
      <c r="E140">
        <v>25</v>
      </c>
      <c r="F140">
        <v>16.600000000000001</v>
      </c>
      <c r="G140">
        <v>11.1</v>
      </c>
      <c r="H140">
        <v>5.4</v>
      </c>
      <c r="I140">
        <v>1</v>
      </c>
      <c r="J140">
        <v>3</v>
      </c>
      <c r="K140" t="s">
        <v>34</v>
      </c>
      <c r="L140" t="s">
        <v>29</v>
      </c>
      <c r="M140">
        <v>0</v>
      </c>
      <c r="N140" t="s">
        <v>27</v>
      </c>
      <c r="O140">
        <v>78.933811475409797</v>
      </c>
      <c r="P140" s="2">
        <v>1099</v>
      </c>
    </row>
    <row r="141" spans="1:16" x14ac:dyDescent="0.3">
      <c r="A141" t="s">
        <v>178</v>
      </c>
      <c r="B141" t="s">
        <v>17</v>
      </c>
      <c r="C141" t="s">
        <v>31</v>
      </c>
      <c r="D141" t="s">
        <v>19</v>
      </c>
      <c r="E141">
        <v>25</v>
      </c>
      <c r="F141">
        <v>19.2</v>
      </c>
      <c r="G141">
        <v>39.299999999999997</v>
      </c>
      <c r="H141">
        <v>6.8</v>
      </c>
      <c r="I141">
        <v>3</v>
      </c>
      <c r="J141">
        <v>3</v>
      </c>
      <c r="K141" t="s">
        <v>20</v>
      </c>
      <c r="L141" t="s">
        <v>29</v>
      </c>
      <c r="M141">
        <v>4</v>
      </c>
      <c r="N141" t="s">
        <v>27</v>
      </c>
      <c r="O141">
        <v>85.6</v>
      </c>
      <c r="P141" s="2">
        <v>1037</v>
      </c>
    </row>
    <row r="142" spans="1:16" x14ac:dyDescent="0.3">
      <c r="A142" t="s">
        <v>179</v>
      </c>
      <c r="B142" t="s">
        <v>17</v>
      </c>
      <c r="C142" t="s">
        <v>18</v>
      </c>
      <c r="D142" t="s">
        <v>25</v>
      </c>
      <c r="E142">
        <v>26</v>
      </c>
      <c r="F142">
        <v>23.1</v>
      </c>
      <c r="G142">
        <v>36.5</v>
      </c>
      <c r="H142">
        <v>5.4</v>
      </c>
      <c r="I142">
        <v>0</v>
      </c>
      <c r="J142">
        <v>4</v>
      </c>
      <c r="K142" t="s">
        <v>34</v>
      </c>
      <c r="L142" t="s">
        <v>37</v>
      </c>
      <c r="M142">
        <v>0</v>
      </c>
      <c r="N142" t="s">
        <v>27</v>
      </c>
      <c r="O142">
        <v>92.3</v>
      </c>
      <c r="P142" s="2">
        <v>1151</v>
      </c>
    </row>
    <row r="143" spans="1:16" x14ac:dyDescent="0.3">
      <c r="A143" t="s">
        <v>180</v>
      </c>
      <c r="B143" t="s">
        <v>17</v>
      </c>
      <c r="C143" t="s">
        <v>36</v>
      </c>
      <c r="D143" t="s">
        <v>25</v>
      </c>
      <c r="E143">
        <v>25</v>
      </c>
      <c r="F143">
        <v>16.7</v>
      </c>
      <c r="G143">
        <v>126.7</v>
      </c>
      <c r="H143">
        <v>8.3000000000000007</v>
      </c>
      <c r="I143">
        <v>2</v>
      </c>
      <c r="J143">
        <v>4</v>
      </c>
      <c r="K143" t="s">
        <v>34</v>
      </c>
      <c r="L143" t="s">
        <v>29</v>
      </c>
      <c r="M143">
        <v>2</v>
      </c>
      <c r="N143" t="s">
        <v>27</v>
      </c>
      <c r="O143">
        <v>69.2</v>
      </c>
      <c r="P143" s="2">
        <v>1213</v>
      </c>
    </row>
    <row r="144" spans="1:16" x14ac:dyDescent="0.3">
      <c r="A144" t="s">
        <v>181</v>
      </c>
      <c r="B144" t="s">
        <v>44</v>
      </c>
      <c r="C144" t="s">
        <v>31</v>
      </c>
      <c r="D144" t="s">
        <v>19</v>
      </c>
      <c r="E144">
        <v>25</v>
      </c>
      <c r="F144">
        <v>20.5</v>
      </c>
      <c r="H144">
        <v>6.4</v>
      </c>
      <c r="I144">
        <v>3</v>
      </c>
      <c r="J144">
        <v>3</v>
      </c>
      <c r="K144" t="s">
        <v>20</v>
      </c>
      <c r="L144" t="s">
        <v>29</v>
      </c>
      <c r="M144">
        <v>1</v>
      </c>
      <c r="N144" t="s">
        <v>38</v>
      </c>
      <c r="O144">
        <v>95.6</v>
      </c>
      <c r="P144" s="2">
        <v>1257</v>
      </c>
    </row>
    <row r="145" spans="1:16" x14ac:dyDescent="0.3">
      <c r="A145" t="s">
        <v>182</v>
      </c>
      <c r="B145" t="s">
        <v>24</v>
      </c>
      <c r="C145" t="s">
        <v>31</v>
      </c>
      <c r="D145" t="s">
        <v>25</v>
      </c>
      <c r="E145">
        <v>23</v>
      </c>
      <c r="F145">
        <v>22.9</v>
      </c>
      <c r="G145">
        <v>36.9</v>
      </c>
      <c r="H145">
        <v>6.4</v>
      </c>
      <c r="I145">
        <v>3</v>
      </c>
      <c r="J145">
        <v>3</v>
      </c>
      <c r="K145" t="s">
        <v>20</v>
      </c>
      <c r="L145" t="s">
        <v>21</v>
      </c>
      <c r="M145">
        <v>0</v>
      </c>
      <c r="N145" t="s">
        <v>22</v>
      </c>
      <c r="O145">
        <v>86.4</v>
      </c>
      <c r="P145" s="2">
        <v>1012</v>
      </c>
    </row>
    <row r="146" spans="1:16" x14ac:dyDescent="0.3">
      <c r="A146" t="s">
        <v>183</v>
      </c>
      <c r="B146" t="s">
        <v>47</v>
      </c>
      <c r="C146" t="s">
        <v>31</v>
      </c>
      <c r="D146" t="s">
        <v>19</v>
      </c>
      <c r="E146">
        <v>21</v>
      </c>
      <c r="F146">
        <v>9.8000000000000007</v>
      </c>
      <c r="G146">
        <v>9.8000000000000007</v>
      </c>
      <c r="H146">
        <v>7.3</v>
      </c>
      <c r="I146">
        <v>6</v>
      </c>
      <c r="J146">
        <v>5</v>
      </c>
      <c r="K146" t="s">
        <v>20</v>
      </c>
      <c r="L146" t="s">
        <v>21</v>
      </c>
      <c r="M146">
        <v>0</v>
      </c>
      <c r="N146" t="s">
        <v>27</v>
      </c>
      <c r="O146">
        <v>91.8</v>
      </c>
      <c r="P146" s="2">
        <v>1231</v>
      </c>
    </row>
    <row r="147" spans="1:16" x14ac:dyDescent="0.3">
      <c r="A147" t="s">
        <v>184</v>
      </c>
      <c r="B147" t="s">
        <v>47</v>
      </c>
      <c r="C147" t="s">
        <v>78</v>
      </c>
      <c r="D147" t="s">
        <v>25</v>
      </c>
      <c r="E147">
        <v>23</v>
      </c>
      <c r="F147">
        <v>16.5</v>
      </c>
      <c r="G147">
        <v>66.599999999999994</v>
      </c>
      <c r="H147">
        <v>6.7</v>
      </c>
      <c r="I147">
        <v>6</v>
      </c>
      <c r="J147">
        <v>4</v>
      </c>
      <c r="K147" t="s">
        <v>20</v>
      </c>
      <c r="L147" t="s">
        <v>26</v>
      </c>
      <c r="M147">
        <v>0</v>
      </c>
      <c r="N147" t="s">
        <v>38</v>
      </c>
      <c r="O147">
        <v>77</v>
      </c>
      <c r="P147" s="2">
        <v>1028</v>
      </c>
    </row>
    <row r="148" spans="1:16" x14ac:dyDescent="0.3">
      <c r="A148" t="s">
        <v>185</v>
      </c>
      <c r="B148" t="s">
        <v>24</v>
      </c>
      <c r="C148" t="s">
        <v>31</v>
      </c>
      <c r="D148" t="s">
        <v>25</v>
      </c>
      <c r="E148">
        <v>23</v>
      </c>
      <c r="F148">
        <v>11.4</v>
      </c>
      <c r="G148">
        <v>20.9</v>
      </c>
      <c r="H148">
        <v>7</v>
      </c>
      <c r="I148">
        <v>5</v>
      </c>
      <c r="J148">
        <v>2</v>
      </c>
      <c r="K148" t="s">
        <v>20</v>
      </c>
      <c r="L148" t="s">
        <v>26</v>
      </c>
      <c r="M148">
        <v>0</v>
      </c>
      <c r="N148" t="s">
        <v>45</v>
      </c>
      <c r="O148">
        <v>74.599999999999994</v>
      </c>
      <c r="P148" s="2">
        <v>1005</v>
      </c>
    </row>
    <row r="149" spans="1:16" x14ac:dyDescent="0.3">
      <c r="A149" t="s">
        <v>186</v>
      </c>
      <c r="B149" t="s">
        <v>17</v>
      </c>
      <c r="C149" t="s">
        <v>62</v>
      </c>
      <c r="D149" t="s">
        <v>25</v>
      </c>
      <c r="E149">
        <v>23</v>
      </c>
      <c r="F149">
        <v>17.899999999999999</v>
      </c>
      <c r="G149">
        <v>18.7</v>
      </c>
      <c r="H149">
        <v>7.2</v>
      </c>
      <c r="I149">
        <v>4</v>
      </c>
      <c r="J149">
        <v>5</v>
      </c>
      <c r="K149" t="s">
        <v>34</v>
      </c>
      <c r="L149" t="s">
        <v>29</v>
      </c>
      <c r="M149">
        <v>0</v>
      </c>
      <c r="N149" t="s">
        <v>27</v>
      </c>
      <c r="O149">
        <v>73.400000000000006</v>
      </c>
      <c r="P149" s="2">
        <v>1123</v>
      </c>
    </row>
    <row r="150" spans="1:16" x14ac:dyDescent="0.3">
      <c r="A150" t="s">
        <v>187</v>
      </c>
      <c r="B150" t="s">
        <v>44</v>
      </c>
      <c r="C150" t="s">
        <v>18</v>
      </c>
      <c r="D150" t="s">
        <v>19</v>
      </c>
      <c r="E150">
        <v>23</v>
      </c>
      <c r="F150">
        <v>15.3</v>
      </c>
      <c r="G150">
        <v>26.6</v>
      </c>
      <c r="H150">
        <v>4</v>
      </c>
      <c r="I150">
        <v>5</v>
      </c>
      <c r="J150">
        <v>4</v>
      </c>
      <c r="K150" t="s">
        <v>34</v>
      </c>
      <c r="L150" t="s">
        <v>26</v>
      </c>
      <c r="M150">
        <v>0</v>
      </c>
      <c r="N150" t="s">
        <v>27</v>
      </c>
      <c r="O150">
        <v>79.400000000000006</v>
      </c>
      <c r="P150" s="2">
        <v>1033</v>
      </c>
    </row>
    <row r="151" spans="1:16" x14ac:dyDescent="0.3">
      <c r="A151" t="s">
        <v>188</v>
      </c>
      <c r="B151" t="s">
        <v>47</v>
      </c>
      <c r="C151" t="s">
        <v>18</v>
      </c>
      <c r="D151" t="s">
        <v>19</v>
      </c>
      <c r="E151">
        <v>24</v>
      </c>
      <c r="F151">
        <v>23.5</v>
      </c>
      <c r="G151">
        <v>27</v>
      </c>
      <c r="H151">
        <v>5.6</v>
      </c>
      <c r="I151">
        <v>2</v>
      </c>
      <c r="J151">
        <v>5</v>
      </c>
      <c r="K151" t="s">
        <v>20</v>
      </c>
      <c r="L151" t="s">
        <v>26</v>
      </c>
      <c r="M151">
        <v>0</v>
      </c>
      <c r="N151" t="s">
        <v>38</v>
      </c>
      <c r="O151">
        <v>94.8</v>
      </c>
      <c r="P151" s="2">
        <v>1205</v>
      </c>
    </row>
    <row r="152" spans="1:16" x14ac:dyDescent="0.3">
      <c r="A152" t="s">
        <v>333</v>
      </c>
      <c r="B152" t="s">
        <v>33</v>
      </c>
      <c r="C152" t="s">
        <v>18</v>
      </c>
      <c r="D152" t="s">
        <v>25</v>
      </c>
      <c r="E152">
        <v>24</v>
      </c>
      <c r="F152">
        <v>21.9</v>
      </c>
      <c r="G152">
        <v>23</v>
      </c>
      <c r="H152">
        <v>7.3</v>
      </c>
      <c r="I152">
        <v>2</v>
      </c>
      <c r="J152">
        <v>4</v>
      </c>
      <c r="K152" t="s">
        <v>34</v>
      </c>
      <c r="L152" t="s">
        <v>29</v>
      </c>
      <c r="M152">
        <v>0</v>
      </c>
      <c r="N152" t="s">
        <v>27</v>
      </c>
      <c r="O152">
        <v>97.3</v>
      </c>
      <c r="P152" s="2">
        <v>1163</v>
      </c>
    </row>
    <row r="153" spans="1:16" x14ac:dyDescent="0.3">
      <c r="A153" t="s">
        <v>189</v>
      </c>
      <c r="B153" t="s">
        <v>47</v>
      </c>
      <c r="C153" t="s">
        <v>62</v>
      </c>
      <c r="D153" t="s">
        <v>19</v>
      </c>
      <c r="E153">
        <v>21</v>
      </c>
      <c r="F153">
        <v>24.4</v>
      </c>
      <c r="G153">
        <v>190.2</v>
      </c>
      <c r="H153">
        <v>6.3</v>
      </c>
      <c r="I153">
        <v>5</v>
      </c>
      <c r="J153">
        <v>2</v>
      </c>
      <c r="K153" t="s">
        <v>34</v>
      </c>
      <c r="L153" t="s">
        <v>42</v>
      </c>
      <c r="M153">
        <v>0</v>
      </c>
      <c r="N153" t="s">
        <v>38</v>
      </c>
      <c r="O153">
        <v>85.6</v>
      </c>
      <c r="P153" s="2">
        <v>1169</v>
      </c>
    </row>
    <row r="154" spans="1:16" x14ac:dyDescent="0.3">
      <c r="A154" t="s">
        <v>190</v>
      </c>
      <c r="B154" t="s">
        <v>24</v>
      </c>
      <c r="C154" t="s">
        <v>31</v>
      </c>
      <c r="D154" t="s">
        <v>25</v>
      </c>
      <c r="E154">
        <v>24</v>
      </c>
      <c r="F154">
        <v>12.9</v>
      </c>
      <c r="G154">
        <v>24.1</v>
      </c>
      <c r="H154">
        <v>6.6</v>
      </c>
      <c r="I154">
        <v>4</v>
      </c>
      <c r="J154">
        <v>5</v>
      </c>
      <c r="K154" t="s">
        <v>20</v>
      </c>
      <c r="L154" t="s">
        <v>26</v>
      </c>
      <c r="M154">
        <v>0</v>
      </c>
      <c r="N154" t="s">
        <v>22</v>
      </c>
      <c r="O154">
        <v>81.099999999999994</v>
      </c>
      <c r="P154" s="2">
        <v>1207</v>
      </c>
    </row>
    <row r="155" spans="1:16" x14ac:dyDescent="0.3">
      <c r="A155" t="s">
        <v>191</v>
      </c>
      <c r="B155" t="s">
        <v>47</v>
      </c>
      <c r="C155" t="s">
        <v>62</v>
      </c>
      <c r="D155" t="s">
        <v>25</v>
      </c>
      <c r="E155">
        <v>23</v>
      </c>
      <c r="F155">
        <v>12.6</v>
      </c>
      <c r="G155">
        <v>21</v>
      </c>
      <c r="H155">
        <v>7</v>
      </c>
      <c r="I155">
        <v>2</v>
      </c>
      <c r="J155">
        <v>3</v>
      </c>
      <c r="K155" t="s">
        <v>20</v>
      </c>
      <c r="L155" t="s">
        <v>42</v>
      </c>
      <c r="M155">
        <v>0</v>
      </c>
      <c r="N155" t="s">
        <v>27</v>
      </c>
      <c r="O155">
        <v>77.599999999999994</v>
      </c>
      <c r="P155" s="2">
        <v>1063</v>
      </c>
    </row>
    <row r="156" spans="1:16" x14ac:dyDescent="0.3">
      <c r="A156" t="s">
        <v>192</v>
      </c>
      <c r="B156" t="s">
        <v>17</v>
      </c>
      <c r="C156" t="s">
        <v>31</v>
      </c>
      <c r="D156" t="s">
        <v>25</v>
      </c>
      <c r="E156">
        <v>20</v>
      </c>
      <c r="F156">
        <v>22.6</v>
      </c>
      <c r="G156">
        <v>97.9</v>
      </c>
      <c r="H156">
        <v>6.7</v>
      </c>
      <c r="I156">
        <v>1</v>
      </c>
      <c r="J156">
        <v>4</v>
      </c>
      <c r="K156" t="s">
        <v>20</v>
      </c>
      <c r="L156" t="s">
        <v>37</v>
      </c>
      <c r="M156">
        <v>0</v>
      </c>
      <c r="N156" t="s">
        <v>27</v>
      </c>
      <c r="O156">
        <v>80.7</v>
      </c>
      <c r="P156" s="2">
        <v>1136</v>
      </c>
    </row>
    <row r="157" spans="1:16" x14ac:dyDescent="0.3">
      <c r="A157" t="s">
        <v>193</v>
      </c>
      <c r="B157" t="s">
        <v>33</v>
      </c>
      <c r="C157" t="s">
        <v>78</v>
      </c>
      <c r="D157" t="s">
        <v>19</v>
      </c>
      <c r="E157">
        <v>22</v>
      </c>
      <c r="F157">
        <v>19.3</v>
      </c>
      <c r="G157">
        <v>209.8</v>
      </c>
      <c r="H157">
        <v>7</v>
      </c>
      <c r="I157">
        <v>6</v>
      </c>
      <c r="J157">
        <v>3</v>
      </c>
      <c r="K157" t="s">
        <v>20</v>
      </c>
      <c r="L157" t="s">
        <v>29</v>
      </c>
      <c r="M157">
        <v>0</v>
      </c>
      <c r="O157">
        <v>78.933811475409797</v>
      </c>
      <c r="P157" s="2">
        <v>1129</v>
      </c>
    </row>
    <row r="158" spans="1:16" x14ac:dyDescent="0.3">
      <c r="A158" t="s">
        <v>194</v>
      </c>
      <c r="B158" t="s">
        <v>17</v>
      </c>
      <c r="C158" t="s">
        <v>78</v>
      </c>
      <c r="D158" t="s">
        <v>25</v>
      </c>
      <c r="E158">
        <v>26</v>
      </c>
      <c r="F158">
        <v>9.3000000000000007</v>
      </c>
      <c r="G158">
        <v>54.1</v>
      </c>
      <c r="H158">
        <v>7</v>
      </c>
      <c r="I158">
        <v>3</v>
      </c>
      <c r="J158">
        <v>3</v>
      </c>
      <c r="K158" t="s">
        <v>20</v>
      </c>
      <c r="L158" t="s">
        <v>26</v>
      </c>
      <c r="M158">
        <v>0</v>
      </c>
      <c r="N158" t="s">
        <v>38</v>
      </c>
      <c r="O158">
        <v>78.933811475409797</v>
      </c>
      <c r="P158" s="2">
        <v>1244</v>
      </c>
    </row>
    <row r="159" spans="1:16" x14ac:dyDescent="0.3">
      <c r="A159" t="s">
        <v>195</v>
      </c>
      <c r="B159" t="s">
        <v>44</v>
      </c>
      <c r="C159" t="s">
        <v>18</v>
      </c>
      <c r="D159" t="s">
        <v>25</v>
      </c>
      <c r="E159">
        <v>25</v>
      </c>
      <c r="F159">
        <v>23.8</v>
      </c>
      <c r="G159">
        <v>25.9</v>
      </c>
      <c r="H159">
        <v>5</v>
      </c>
      <c r="I159">
        <v>2</v>
      </c>
      <c r="J159">
        <v>3</v>
      </c>
      <c r="K159" t="s">
        <v>20</v>
      </c>
      <c r="L159" t="s">
        <v>21</v>
      </c>
      <c r="M159">
        <v>0</v>
      </c>
      <c r="N159" t="s">
        <v>38</v>
      </c>
      <c r="O159">
        <v>80.3</v>
      </c>
      <c r="P159" s="2">
        <v>1071</v>
      </c>
    </row>
    <row r="160" spans="1:16" x14ac:dyDescent="0.3">
      <c r="A160" t="s">
        <v>196</v>
      </c>
      <c r="B160" t="s">
        <v>44</v>
      </c>
      <c r="C160" t="s">
        <v>31</v>
      </c>
      <c r="D160" t="s">
        <v>19</v>
      </c>
      <c r="E160">
        <v>24</v>
      </c>
      <c r="F160">
        <v>19.5</v>
      </c>
      <c r="G160">
        <v>36.4</v>
      </c>
      <c r="H160">
        <v>7.3</v>
      </c>
      <c r="I160">
        <v>2</v>
      </c>
      <c r="J160">
        <v>3</v>
      </c>
      <c r="K160" t="s">
        <v>20</v>
      </c>
      <c r="L160" t="s">
        <v>26</v>
      </c>
      <c r="M160">
        <v>0</v>
      </c>
      <c r="O160">
        <v>88.2</v>
      </c>
      <c r="P160" s="2">
        <v>1223</v>
      </c>
    </row>
    <row r="161" spans="1:16" x14ac:dyDescent="0.3">
      <c r="A161" t="s">
        <v>197</v>
      </c>
      <c r="B161" t="s">
        <v>24</v>
      </c>
      <c r="C161" t="s">
        <v>31</v>
      </c>
      <c r="D161" t="s">
        <v>25</v>
      </c>
      <c r="E161">
        <v>23</v>
      </c>
      <c r="F161">
        <v>19.600000000000001</v>
      </c>
      <c r="G161">
        <v>26.1</v>
      </c>
      <c r="H161">
        <v>7.2</v>
      </c>
      <c r="I161">
        <v>4</v>
      </c>
      <c r="J161">
        <v>4</v>
      </c>
      <c r="K161" t="s">
        <v>20</v>
      </c>
      <c r="L161" t="s">
        <v>21</v>
      </c>
      <c r="M161">
        <v>0</v>
      </c>
      <c r="O161">
        <v>86.9</v>
      </c>
      <c r="P161" s="2">
        <v>1065</v>
      </c>
    </row>
    <row r="162" spans="1:16" x14ac:dyDescent="0.3">
      <c r="A162" t="s">
        <v>198</v>
      </c>
      <c r="B162" t="s">
        <v>44</v>
      </c>
      <c r="C162" t="s">
        <v>18</v>
      </c>
      <c r="D162" t="s">
        <v>19</v>
      </c>
      <c r="E162">
        <v>26</v>
      </c>
      <c r="F162">
        <v>23.4</v>
      </c>
      <c r="G162">
        <v>61.7</v>
      </c>
      <c r="H162">
        <v>6.7</v>
      </c>
      <c r="I162">
        <v>1</v>
      </c>
      <c r="J162">
        <v>4</v>
      </c>
      <c r="K162" t="s">
        <v>20</v>
      </c>
      <c r="L162" t="s">
        <v>29</v>
      </c>
      <c r="M162">
        <v>0</v>
      </c>
      <c r="O162">
        <v>95.6</v>
      </c>
      <c r="P162" s="2">
        <v>1045</v>
      </c>
    </row>
    <row r="163" spans="1:16" x14ac:dyDescent="0.3">
      <c r="A163" t="s">
        <v>334</v>
      </c>
      <c r="B163" t="s">
        <v>44</v>
      </c>
      <c r="C163" t="s">
        <v>18</v>
      </c>
      <c r="D163" t="s">
        <v>25</v>
      </c>
      <c r="E163">
        <v>24</v>
      </c>
      <c r="F163">
        <v>8.1</v>
      </c>
      <c r="G163">
        <v>35</v>
      </c>
      <c r="H163">
        <v>6.2</v>
      </c>
      <c r="I163">
        <v>4</v>
      </c>
      <c r="J163">
        <v>4</v>
      </c>
      <c r="K163" t="s">
        <v>20</v>
      </c>
      <c r="L163" t="s">
        <v>29</v>
      </c>
      <c r="M163">
        <v>0</v>
      </c>
      <c r="N163" t="s">
        <v>27</v>
      </c>
      <c r="O163">
        <v>69.2</v>
      </c>
      <c r="P163" s="2">
        <v>1187</v>
      </c>
    </row>
    <row r="164" spans="1:16" x14ac:dyDescent="0.3">
      <c r="A164" t="s">
        <v>199</v>
      </c>
      <c r="B164" t="s">
        <v>17</v>
      </c>
      <c r="C164" t="s">
        <v>62</v>
      </c>
      <c r="D164" t="s">
        <v>19</v>
      </c>
      <c r="E164">
        <v>25</v>
      </c>
      <c r="F164">
        <v>20.8</v>
      </c>
      <c r="G164">
        <v>9.8000000000000007</v>
      </c>
      <c r="H164">
        <v>9.3000000000000007</v>
      </c>
      <c r="I164">
        <v>2</v>
      </c>
      <c r="J164">
        <v>3</v>
      </c>
      <c r="K164" t="s">
        <v>20</v>
      </c>
      <c r="L164" t="s">
        <v>42</v>
      </c>
      <c r="M164">
        <v>1</v>
      </c>
      <c r="N164" t="s">
        <v>27</v>
      </c>
      <c r="O164">
        <v>99.9</v>
      </c>
      <c r="P164" s="2">
        <v>1157</v>
      </c>
    </row>
    <row r="165" spans="1:16" x14ac:dyDescent="0.3">
      <c r="A165" t="s">
        <v>200</v>
      </c>
      <c r="B165" t="s">
        <v>24</v>
      </c>
      <c r="C165" t="s">
        <v>36</v>
      </c>
      <c r="D165" t="s">
        <v>19</v>
      </c>
      <c r="E165">
        <v>22</v>
      </c>
      <c r="F165">
        <v>4.5</v>
      </c>
      <c r="G165">
        <v>11</v>
      </c>
      <c r="H165">
        <v>6.6</v>
      </c>
      <c r="I165">
        <v>2</v>
      </c>
      <c r="J165">
        <v>3</v>
      </c>
      <c r="K165" t="s">
        <v>20</v>
      </c>
      <c r="L165" t="s">
        <v>21</v>
      </c>
      <c r="M165">
        <v>0</v>
      </c>
      <c r="O165">
        <v>67.400000000000006</v>
      </c>
      <c r="P165" s="2">
        <v>1124</v>
      </c>
    </row>
    <row r="166" spans="1:16" x14ac:dyDescent="0.3">
      <c r="A166" t="s">
        <v>201</v>
      </c>
      <c r="B166" t="s">
        <v>47</v>
      </c>
      <c r="C166" t="s">
        <v>18</v>
      </c>
      <c r="D166" t="s">
        <v>19</v>
      </c>
      <c r="E166">
        <v>28</v>
      </c>
      <c r="F166">
        <v>14.4</v>
      </c>
      <c r="G166">
        <v>29.4</v>
      </c>
      <c r="H166">
        <v>6.4</v>
      </c>
      <c r="I166">
        <v>2</v>
      </c>
      <c r="J166">
        <v>3</v>
      </c>
      <c r="K166" t="s">
        <v>20</v>
      </c>
      <c r="L166" t="s">
        <v>26</v>
      </c>
      <c r="M166">
        <v>1</v>
      </c>
      <c r="N166" t="s">
        <v>45</v>
      </c>
      <c r="O166">
        <v>83.9</v>
      </c>
      <c r="P166" s="2">
        <v>1154</v>
      </c>
    </row>
    <row r="167" spans="1:16" x14ac:dyDescent="0.3">
      <c r="A167" t="s">
        <v>202</v>
      </c>
      <c r="B167" t="s">
        <v>17</v>
      </c>
      <c r="C167" t="s">
        <v>36</v>
      </c>
      <c r="D167" t="s">
        <v>19</v>
      </c>
      <c r="E167">
        <v>26</v>
      </c>
      <c r="F167">
        <v>11.6</v>
      </c>
      <c r="G167">
        <v>67.7</v>
      </c>
      <c r="H167">
        <v>6.2</v>
      </c>
      <c r="I167">
        <v>4</v>
      </c>
      <c r="J167">
        <v>5</v>
      </c>
      <c r="K167" t="s">
        <v>20</v>
      </c>
      <c r="L167" t="s">
        <v>26</v>
      </c>
      <c r="M167">
        <v>1</v>
      </c>
      <c r="N167" t="s">
        <v>22</v>
      </c>
      <c r="O167">
        <v>80</v>
      </c>
      <c r="P167" s="2">
        <v>1024</v>
      </c>
    </row>
    <row r="168" spans="1:16" x14ac:dyDescent="0.3">
      <c r="A168" t="s">
        <v>203</v>
      </c>
      <c r="B168" t="s">
        <v>24</v>
      </c>
      <c r="C168" t="s">
        <v>78</v>
      </c>
      <c r="D168" t="s">
        <v>25</v>
      </c>
      <c r="E168">
        <v>23</v>
      </c>
      <c r="F168">
        <v>15.6</v>
      </c>
      <c r="G168">
        <v>8.4</v>
      </c>
      <c r="H168">
        <v>7.3</v>
      </c>
      <c r="I168">
        <v>1</v>
      </c>
      <c r="J168">
        <v>5</v>
      </c>
      <c r="K168" t="s">
        <v>20</v>
      </c>
      <c r="L168" t="s">
        <v>21</v>
      </c>
      <c r="M168">
        <v>1</v>
      </c>
      <c r="N168" t="s">
        <v>27</v>
      </c>
      <c r="O168">
        <v>83.2</v>
      </c>
      <c r="P168" s="2">
        <v>1218</v>
      </c>
    </row>
    <row r="169" spans="1:16" x14ac:dyDescent="0.3">
      <c r="A169" t="s">
        <v>204</v>
      </c>
      <c r="B169" t="s">
        <v>17</v>
      </c>
      <c r="C169" t="s">
        <v>36</v>
      </c>
      <c r="D169" t="s">
        <v>19</v>
      </c>
      <c r="E169">
        <v>22</v>
      </c>
      <c r="F169">
        <v>16.5</v>
      </c>
      <c r="G169">
        <v>43.3</v>
      </c>
      <c r="H169">
        <v>7.6</v>
      </c>
      <c r="I169">
        <v>2</v>
      </c>
      <c r="J169">
        <v>3</v>
      </c>
      <c r="K169" t="s">
        <v>20</v>
      </c>
      <c r="L169" t="s">
        <v>21</v>
      </c>
      <c r="M169">
        <v>1</v>
      </c>
      <c r="N169" t="s">
        <v>22</v>
      </c>
      <c r="O169">
        <v>79.3</v>
      </c>
      <c r="P169" s="2">
        <v>1082</v>
      </c>
    </row>
    <row r="170" spans="1:16" x14ac:dyDescent="0.3">
      <c r="A170" t="s">
        <v>205</v>
      </c>
      <c r="B170" t="s">
        <v>24</v>
      </c>
      <c r="C170" t="s">
        <v>62</v>
      </c>
      <c r="D170" t="s">
        <v>25</v>
      </c>
      <c r="E170">
        <v>24</v>
      </c>
      <c r="F170">
        <v>19.7</v>
      </c>
      <c r="G170">
        <v>37.6</v>
      </c>
      <c r="H170">
        <v>6.4</v>
      </c>
      <c r="I170">
        <v>0</v>
      </c>
      <c r="J170">
        <v>4</v>
      </c>
      <c r="K170" t="s">
        <v>20</v>
      </c>
      <c r="L170" t="s">
        <v>21</v>
      </c>
      <c r="M170">
        <v>0</v>
      </c>
      <c r="N170" t="s">
        <v>45</v>
      </c>
      <c r="O170">
        <v>85.9</v>
      </c>
      <c r="P170" s="2">
        <v>1040</v>
      </c>
    </row>
    <row r="171" spans="1:16" x14ac:dyDescent="0.3">
      <c r="A171" t="s">
        <v>206</v>
      </c>
      <c r="B171" t="s">
        <v>17</v>
      </c>
      <c r="C171" t="s">
        <v>18</v>
      </c>
      <c r="D171" t="s">
        <v>25</v>
      </c>
      <c r="E171">
        <v>22</v>
      </c>
      <c r="F171">
        <v>23.2</v>
      </c>
      <c r="G171">
        <v>33</v>
      </c>
      <c r="H171">
        <v>9.5</v>
      </c>
      <c r="I171">
        <v>3</v>
      </c>
      <c r="J171">
        <v>3</v>
      </c>
      <c r="K171" t="s">
        <v>20</v>
      </c>
      <c r="L171" t="s">
        <v>29</v>
      </c>
      <c r="M171">
        <v>0</v>
      </c>
      <c r="O171">
        <v>100</v>
      </c>
      <c r="P171" s="2">
        <v>1241</v>
      </c>
    </row>
    <row r="172" spans="1:16" x14ac:dyDescent="0.3">
      <c r="A172" t="s">
        <v>207</v>
      </c>
      <c r="B172" t="s">
        <v>24</v>
      </c>
      <c r="C172" t="s">
        <v>18</v>
      </c>
      <c r="D172" t="s">
        <v>19</v>
      </c>
      <c r="E172">
        <v>22</v>
      </c>
      <c r="F172">
        <v>15.7</v>
      </c>
      <c r="G172">
        <v>11.1</v>
      </c>
      <c r="H172">
        <v>6.8</v>
      </c>
      <c r="I172">
        <v>6</v>
      </c>
      <c r="J172">
        <v>5</v>
      </c>
      <c r="K172" t="s">
        <v>20</v>
      </c>
      <c r="L172" t="s">
        <v>29</v>
      </c>
      <c r="M172">
        <v>1</v>
      </c>
      <c r="N172" t="s">
        <v>45</v>
      </c>
      <c r="O172">
        <v>78.099999999999994</v>
      </c>
      <c r="P172" s="2">
        <v>1048</v>
      </c>
    </row>
    <row r="173" spans="1:16" x14ac:dyDescent="0.3">
      <c r="A173" t="s">
        <v>208</v>
      </c>
      <c r="B173" t="s">
        <v>47</v>
      </c>
      <c r="C173" t="s">
        <v>36</v>
      </c>
      <c r="D173" t="s">
        <v>19</v>
      </c>
      <c r="E173">
        <v>20</v>
      </c>
      <c r="F173">
        <v>6.7</v>
      </c>
      <c r="G173">
        <v>44.8</v>
      </c>
      <c r="H173">
        <v>6.3</v>
      </c>
      <c r="I173">
        <v>1</v>
      </c>
      <c r="J173">
        <v>3</v>
      </c>
      <c r="K173" t="s">
        <v>20</v>
      </c>
      <c r="L173" t="s">
        <v>26</v>
      </c>
      <c r="M173">
        <v>2</v>
      </c>
      <c r="N173" t="s">
        <v>27</v>
      </c>
      <c r="O173">
        <v>67.2</v>
      </c>
      <c r="P173" s="2">
        <v>1095</v>
      </c>
    </row>
    <row r="174" spans="1:16" x14ac:dyDescent="0.3">
      <c r="A174" t="s">
        <v>209</v>
      </c>
      <c r="B174" t="s">
        <v>24</v>
      </c>
      <c r="C174" t="s">
        <v>31</v>
      </c>
      <c r="D174" t="s">
        <v>19</v>
      </c>
      <c r="E174">
        <v>22</v>
      </c>
      <c r="F174">
        <v>5.2</v>
      </c>
      <c r="G174">
        <v>6.2</v>
      </c>
      <c r="H174">
        <v>7.6</v>
      </c>
      <c r="I174">
        <v>3</v>
      </c>
      <c r="J174">
        <v>5</v>
      </c>
      <c r="K174" t="s">
        <v>34</v>
      </c>
      <c r="L174" t="s">
        <v>37</v>
      </c>
      <c r="M174">
        <v>0</v>
      </c>
      <c r="N174" t="s">
        <v>45</v>
      </c>
      <c r="O174">
        <v>54.9</v>
      </c>
      <c r="P174" s="2">
        <v>1221</v>
      </c>
    </row>
    <row r="175" spans="1:16" x14ac:dyDescent="0.3">
      <c r="A175" t="s">
        <v>210</v>
      </c>
      <c r="B175" t="s">
        <v>33</v>
      </c>
      <c r="C175" t="s">
        <v>18</v>
      </c>
      <c r="D175" t="s">
        <v>25</v>
      </c>
      <c r="E175">
        <v>28</v>
      </c>
      <c r="F175">
        <v>3.1</v>
      </c>
      <c r="G175">
        <v>19.7</v>
      </c>
      <c r="H175">
        <v>5</v>
      </c>
      <c r="I175">
        <v>3</v>
      </c>
      <c r="J175">
        <v>5</v>
      </c>
      <c r="K175" t="s">
        <v>20</v>
      </c>
      <c r="L175" t="s">
        <v>29</v>
      </c>
      <c r="M175">
        <v>1</v>
      </c>
      <c r="N175" t="s">
        <v>22</v>
      </c>
      <c r="O175">
        <v>77.400000000000006</v>
      </c>
      <c r="P175" s="2">
        <v>1237</v>
      </c>
    </row>
    <row r="176" spans="1:16" x14ac:dyDescent="0.3">
      <c r="A176" t="s">
        <v>211</v>
      </c>
      <c r="B176" t="s">
        <v>47</v>
      </c>
      <c r="C176" t="s">
        <v>18</v>
      </c>
      <c r="D176" t="s">
        <v>19</v>
      </c>
      <c r="E176">
        <v>22</v>
      </c>
      <c r="F176">
        <v>21</v>
      </c>
      <c r="G176">
        <v>21.1</v>
      </c>
      <c r="H176">
        <v>6.1</v>
      </c>
      <c r="I176">
        <v>6</v>
      </c>
      <c r="J176">
        <v>4</v>
      </c>
      <c r="K176" t="s">
        <v>20</v>
      </c>
      <c r="L176" t="s">
        <v>26</v>
      </c>
      <c r="M176">
        <v>1</v>
      </c>
      <c r="N176" t="s">
        <v>22</v>
      </c>
      <c r="O176">
        <v>88.2</v>
      </c>
      <c r="P176" s="2">
        <v>1162</v>
      </c>
    </row>
    <row r="177" spans="1:16" x14ac:dyDescent="0.3">
      <c r="A177" t="s">
        <v>212</v>
      </c>
      <c r="B177" t="s">
        <v>17</v>
      </c>
      <c r="C177" t="s">
        <v>78</v>
      </c>
      <c r="D177" t="s">
        <v>19</v>
      </c>
      <c r="E177">
        <v>24</v>
      </c>
      <c r="F177">
        <v>18.399999999999999</v>
      </c>
      <c r="G177">
        <v>70.599999999999994</v>
      </c>
      <c r="H177">
        <v>6.8</v>
      </c>
      <c r="I177">
        <v>1</v>
      </c>
      <c r="J177">
        <v>2</v>
      </c>
      <c r="K177" t="s">
        <v>34</v>
      </c>
      <c r="L177" t="s">
        <v>21</v>
      </c>
      <c r="M177">
        <v>0</v>
      </c>
      <c r="N177" t="s">
        <v>22</v>
      </c>
      <c r="O177">
        <v>81.400000000000006</v>
      </c>
      <c r="P177" s="2">
        <v>1044</v>
      </c>
    </row>
    <row r="178" spans="1:16" x14ac:dyDescent="0.3">
      <c r="A178" t="s">
        <v>213</v>
      </c>
      <c r="B178" t="s">
        <v>17</v>
      </c>
      <c r="C178" t="s">
        <v>36</v>
      </c>
      <c r="D178" t="s">
        <v>25</v>
      </c>
      <c r="E178">
        <v>21</v>
      </c>
      <c r="F178">
        <v>12.5</v>
      </c>
      <c r="G178">
        <v>37.200000000000003</v>
      </c>
      <c r="H178">
        <v>4.2</v>
      </c>
      <c r="I178">
        <v>7</v>
      </c>
      <c r="J178">
        <v>5</v>
      </c>
      <c r="K178" t="s">
        <v>20</v>
      </c>
      <c r="L178" t="s">
        <v>29</v>
      </c>
      <c r="M178">
        <v>0</v>
      </c>
      <c r="N178" t="s">
        <v>27</v>
      </c>
      <c r="O178">
        <v>71.7</v>
      </c>
      <c r="P178" s="2">
        <v>1146</v>
      </c>
    </row>
    <row r="179" spans="1:16" x14ac:dyDescent="0.3">
      <c r="A179" t="s">
        <v>214</v>
      </c>
      <c r="B179" t="s">
        <v>47</v>
      </c>
      <c r="C179" t="s">
        <v>18</v>
      </c>
      <c r="D179" t="s">
        <v>25</v>
      </c>
      <c r="E179">
        <v>23</v>
      </c>
      <c r="F179">
        <v>16.5267206477732</v>
      </c>
      <c r="G179">
        <v>60.3</v>
      </c>
      <c r="H179">
        <v>6.9</v>
      </c>
      <c r="I179">
        <v>2</v>
      </c>
      <c r="J179">
        <v>5</v>
      </c>
      <c r="K179" t="s">
        <v>20</v>
      </c>
      <c r="L179" t="s">
        <v>21</v>
      </c>
      <c r="M179">
        <v>0</v>
      </c>
      <c r="N179" t="s">
        <v>45</v>
      </c>
      <c r="O179">
        <v>78.933811475409797</v>
      </c>
      <c r="P179" s="2">
        <v>1191</v>
      </c>
    </row>
    <row r="180" spans="1:16" x14ac:dyDescent="0.3">
      <c r="A180" t="s">
        <v>215</v>
      </c>
      <c r="B180" t="s">
        <v>17</v>
      </c>
      <c r="C180" t="s">
        <v>31</v>
      </c>
      <c r="D180" t="s">
        <v>25</v>
      </c>
      <c r="E180">
        <v>23</v>
      </c>
      <c r="F180">
        <v>19.7</v>
      </c>
      <c r="G180">
        <v>105.8</v>
      </c>
      <c r="H180">
        <v>7</v>
      </c>
      <c r="I180">
        <v>2</v>
      </c>
      <c r="J180">
        <v>3</v>
      </c>
      <c r="K180" t="s">
        <v>20</v>
      </c>
      <c r="L180" t="s">
        <v>37</v>
      </c>
      <c r="M180">
        <v>0</v>
      </c>
      <c r="O180">
        <v>78.5</v>
      </c>
      <c r="P180" s="2">
        <v>1212</v>
      </c>
    </row>
    <row r="181" spans="1:16" x14ac:dyDescent="0.3">
      <c r="A181" t="s">
        <v>216</v>
      </c>
      <c r="B181" t="s">
        <v>17</v>
      </c>
      <c r="C181" t="s">
        <v>18</v>
      </c>
      <c r="D181" t="s">
        <v>19</v>
      </c>
      <c r="E181">
        <v>23</v>
      </c>
      <c r="F181">
        <v>16.5267206477732</v>
      </c>
      <c r="G181">
        <v>46.4</v>
      </c>
      <c r="H181">
        <v>8</v>
      </c>
      <c r="I181">
        <v>5</v>
      </c>
      <c r="J181">
        <v>3</v>
      </c>
      <c r="K181" t="s">
        <v>20</v>
      </c>
      <c r="L181" t="s">
        <v>29</v>
      </c>
      <c r="M181">
        <v>1</v>
      </c>
      <c r="N181" t="s">
        <v>22</v>
      </c>
      <c r="O181">
        <v>85</v>
      </c>
      <c r="P181" s="2">
        <v>1004</v>
      </c>
    </row>
    <row r="182" spans="1:16" x14ac:dyDescent="0.3">
      <c r="A182" t="s">
        <v>217</v>
      </c>
      <c r="B182" t="s">
        <v>24</v>
      </c>
      <c r="C182" t="s">
        <v>18</v>
      </c>
      <c r="D182" t="s">
        <v>19</v>
      </c>
      <c r="E182">
        <v>28</v>
      </c>
      <c r="F182">
        <v>27.4</v>
      </c>
      <c r="H182">
        <v>7.5</v>
      </c>
      <c r="I182">
        <v>3</v>
      </c>
      <c r="J182">
        <v>4</v>
      </c>
      <c r="K182" t="s">
        <v>20</v>
      </c>
      <c r="L182" t="s">
        <v>29</v>
      </c>
      <c r="M182">
        <v>1</v>
      </c>
      <c r="N182" t="s">
        <v>85</v>
      </c>
      <c r="O182">
        <v>100</v>
      </c>
      <c r="P182" s="2">
        <v>1106</v>
      </c>
    </row>
    <row r="183" spans="1:16" x14ac:dyDescent="0.3">
      <c r="A183" t="s">
        <v>218</v>
      </c>
      <c r="B183" t="s">
        <v>33</v>
      </c>
      <c r="C183" t="s">
        <v>31</v>
      </c>
      <c r="D183" t="s">
        <v>25</v>
      </c>
      <c r="E183">
        <v>20</v>
      </c>
      <c r="F183">
        <v>21</v>
      </c>
      <c r="G183">
        <v>15</v>
      </c>
      <c r="H183">
        <v>7.3</v>
      </c>
      <c r="I183">
        <v>6</v>
      </c>
      <c r="J183">
        <v>3</v>
      </c>
      <c r="K183" t="s">
        <v>20</v>
      </c>
      <c r="L183" t="s">
        <v>37</v>
      </c>
      <c r="M183">
        <v>2</v>
      </c>
      <c r="O183">
        <v>77</v>
      </c>
      <c r="P183" s="2">
        <v>1054</v>
      </c>
    </row>
    <row r="184" spans="1:16" x14ac:dyDescent="0.3">
      <c r="A184" t="s">
        <v>219</v>
      </c>
      <c r="B184" t="s">
        <v>47</v>
      </c>
      <c r="C184" t="s">
        <v>62</v>
      </c>
      <c r="D184" t="s">
        <v>25</v>
      </c>
      <c r="E184">
        <v>20</v>
      </c>
      <c r="F184">
        <v>15.7</v>
      </c>
      <c r="G184">
        <v>10.9</v>
      </c>
      <c r="H184">
        <v>7</v>
      </c>
      <c r="I184">
        <v>5</v>
      </c>
      <c r="J184">
        <v>4</v>
      </c>
      <c r="K184" t="s">
        <v>20</v>
      </c>
      <c r="L184" t="s">
        <v>21</v>
      </c>
      <c r="M184">
        <v>0</v>
      </c>
      <c r="N184" t="s">
        <v>27</v>
      </c>
      <c r="O184">
        <v>79.7</v>
      </c>
      <c r="P184" s="2">
        <v>1134</v>
      </c>
    </row>
    <row r="185" spans="1:16" x14ac:dyDescent="0.3">
      <c r="A185" t="s">
        <v>220</v>
      </c>
      <c r="B185" t="s">
        <v>47</v>
      </c>
      <c r="C185" t="s">
        <v>18</v>
      </c>
      <c r="D185" t="s">
        <v>25</v>
      </c>
      <c r="E185">
        <v>23</v>
      </c>
      <c r="F185">
        <v>16.5267206477732</v>
      </c>
      <c r="G185">
        <v>9.4</v>
      </c>
      <c r="H185">
        <v>5.9</v>
      </c>
      <c r="I185">
        <v>0</v>
      </c>
      <c r="J185">
        <v>4</v>
      </c>
      <c r="K185" t="s">
        <v>20</v>
      </c>
      <c r="L185" t="s">
        <v>26</v>
      </c>
      <c r="M185">
        <v>0</v>
      </c>
      <c r="N185" t="s">
        <v>27</v>
      </c>
      <c r="O185">
        <v>78.599999999999994</v>
      </c>
      <c r="P185" s="2">
        <v>1002</v>
      </c>
    </row>
    <row r="186" spans="1:16" x14ac:dyDescent="0.3">
      <c r="A186" t="s">
        <v>221</v>
      </c>
      <c r="B186" t="s">
        <v>17</v>
      </c>
      <c r="C186" t="s">
        <v>62</v>
      </c>
      <c r="D186" t="s">
        <v>19</v>
      </c>
      <c r="E186">
        <v>26</v>
      </c>
      <c r="F186">
        <v>14.2</v>
      </c>
      <c r="G186">
        <v>121.4</v>
      </c>
      <c r="H186">
        <v>5.0999999999999996</v>
      </c>
      <c r="I186">
        <v>4</v>
      </c>
      <c r="J186">
        <v>2</v>
      </c>
      <c r="K186" t="s">
        <v>34</v>
      </c>
      <c r="L186" t="s">
        <v>21</v>
      </c>
      <c r="M186">
        <v>1</v>
      </c>
      <c r="N186" t="s">
        <v>22</v>
      </c>
      <c r="O186">
        <v>68.5</v>
      </c>
      <c r="P186" s="2">
        <v>1224</v>
      </c>
    </row>
    <row r="187" spans="1:16" x14ac:dyDescent="0.3">
      <c r="A187" t="s">
        <v>222</v>
      </c>
      <c r="B187" t="s">
        <v>33</v>
      </c>
      <c r="C187" t="s">
        <v>18</v>
      </c>
      <c r="D187" t="s">
        <v>19</v>
      </c>
      <c r="E187">
        <v>23</v>
      </c>
      <c r="F187">
        <v>22.8</v>
      </c>
      <c r="G187">
        <v>16.100000000000001</v>
      </c>
      <c r="H187">
        <v>7.5</v>
      </c>
      <c r="I187">
        <v>0</v>
      </c>
      <c r="J187">
        <v>3</v>
      </c>
      <c r="K187" t="s">
        <v>34</v>
      </c>
      <c r="L187" t="s">
        <v>29</v>
      </c>
      <c r="M187">
        <v>2</v>
      </c>
      <c r="N187" t="s">
        <v>22</v>
      </c>
      <c r="O187">
        <v>84.1</v>
      </c>
      <c r="P187" s="2">
        <v>1104</v>
      </c>
    </row>
    <row r="188" spans="1:16" x14ac:dyDescent="0.3">
      <c r="A188" t="s">
        <v>223</v>
      </c>
      <c r="B188" t="s">
        <v>17</v>
      </c>
      <c r="C188" t="s">
        <v>31</v>
      </c>
      <c r="D188" t="s">
        <v>25</v>
      </c>
      <c r="E188">
        <v>24</v>
      </c>
      <c r="F188">
        <v>11</v>
      </c>
      <c r="G188">
        <v>17.5</v>
      </c>
      <c r="H188">
        <v>5.8</v>
      </c>
      <c r="I188">
        <v>3</v>
      </c>
      <c r="J188">
        <v>2</v>
      </c>
      <c r="K188" t="s">
        <v>20</v>
      </c>
      <c r="L188" t="s">
        <v>29</v>
      </c>
      <c r="M188">
        <v>0</v>
      </c>
      <c r="N188" t="s">
        <v>85</v>
      </c>
      <c r="O188">
        <v>87</v>
      </c>
      <c r="P188" s="2">
        <v>1050</v>
      </c>
    </row>
    <row r="189" spans="1:16" x14ac:dyDescent="0.3">
      <c r="A189" t="s">
        <v>224</v>
      </c>
      <c r="B189" t="s">
        <v>33</v>
      </c>
      <c r="C189" t="s">
        <v>78</v>
      </c>
      <c r="D189" t="s">
        <v>25</v>
      </c>
      <c r="E189">
        <v>21</v>
      </c>
      <c r="F189">
        <v>11.5</v>
      </c>
      <c r="G189">
        <v>33</v>
      </c>
      <c r="H189">
        <v>5.9</v>
      </c>
      <c r="I189">
        <v>6</v>
      </c>
      <c r="J189">
        <v>4</v>
      </c>
      <c r="K189" t="s">
        <v>20</v>
      </c>
      <c r="L189" t="s">
        <v>21</v>
      </c>
      <c r="M189">
        <v>0</v>
      </c>
      <c r="N189" t="s">
        <v>27</v>
      </c>
      <c r="O189">
        <v>64</v>
      </c>
      <c r="P189" s="2">
        <v>1164</v>
      </c>
    </row>
    <row r="190" spans="1:16" x14ac:dyDescent="0.3">
      <c r="A190" t="s">
        <v>225</v>
      </c>
      <c r="B190" t="s">
        <v>44</v>
      </c>
      <c r="C190" t="s">
        <v>18</v>
      </c>
      <c r="D190" t="s">
        <v>19</v>
      </c>
      <c r="E190">
        <v>25</v>
      </c>
      <c r="F190">
        <v>27.4</v>
      </c>
      <c r="G190">
        <v>66.400000000000006</v>
      </c>
      <c r="H190">
        <v>7.1</v>
      </c>
      <c r="I190">
        <v>4</v>
      </c>
      <c r="J190">
        <v>4</v>
      </c>
      <c r="K190" t="s">
        <v>20</v>
      </c>
      <c r="L190" t="s">
        <v>42</v>
      </c>
      <c r="M190">
        <v>0</v>
      </c>
      <c r="O190">
        <v>99.8</v>
      </c>
      <c r="P190" s="2">
        <v>1081</v>
      </c>
    </row>
    <row r="191" spans="1:16" x14ac:dyDescent="0.3">
      <c r="A191" t="s">
        <v>226</v>
      </c>
      <c r="B191" t="s">
        <v>44</v>
      </c>
      <c r="C191" t="s">
        <v>18</v>
      </c>
      <c r="D191" t="s">
        <v>19</v>
      </c>
      <c r="E191">
        <v>24</v>
      </c>
      <c r="F191">
        <v>16.100000000000001</v>
      </c>
      <c r="G191">
        <v>57.8</v>
      </c>
      <c r="H191">
        <v>5.4</v>
      </c>
      <c r="I191">
        <v>0</v>
      </c>
      <c r="J191">
        <v>3</v>
      </c>
      <c r="K191" t="s">
        <v>34</v>
      </c>
      <c r="L191" t="s">
        <v>37</v>
      </c>
      <c r="M191">
        <v>1</v>
      </c>
      <c r="N191" t="s">
        <v>27</v>
      </c>
      <c r="O191">
        <v>72.2</v>
      </c>
      <c r="P191" s="2">
        <v>1206</v>
      </c>
    </row>
    <row r="192" spans="1:16" x14ac:dyDescent="0.3">
      <c r="A192" t="s">
        <v>227</v>
      </c>
      <c r="B192" t="s">
        <v>47</v>
      </c>
      <c r="C192" t="s">
        <v>18</v>
      </c>
      <c r="D192" t="s">
        <v>25</v>
      </c>
      <c r="E192">
        <v>23</v>
      </c>
      <c r="F192">
        <v>7</v>
      </c>
      <c r="G192">
        <v>12.1</v>
      </c>
      <c r="H192">
        <v>4.5</v>
      </c>
      <c r="I192">
        <v>4</v>
      </c>
      <c r="J192">
        <v>2</v>
      </c>
      <c r="K192" t="s">
        <v>20</v>
      </c>
      <c r="L192" t="s">
        <v>37</v>
      </c>
      <c r="M192">
        <v>0</v>
      </c>
      <c r="N192" t="s">
        <v>45</v>
      </c>
      <c r="O192">
        <v>69.599999999999994</v>
      </c>
      <c r="P192" s="2">
        <v>1035</v>
      </c>
    </row>
    <row r="193" spans="1:16" x14ac:dyDescent="0.3">
      <c r="A193" t="s">
        <v>228</v>
      </c>
      <c r="B193" t="s">
        <v>47</v>
      </c>
      <c r="C193" t="s">
        <v>78</v>
      </c>
      <c r="D193" t="s">
        <v>19</v>
      </c>
      <c r="E193">
        <v>24</v>
      </c>
      <c r="F193">
        <v>11.6</v>
      </c>
      <c r="G193">
        <v>46</v>
      </c>
      <c r="H193">
        <v>6.5</v>
      </c>
      <c r="I193">
        <v>2</v>
      </c>
      <c r="J193">
        <v>4</v>
      </c>
      <c r="K193" t="s">
        <v>20</v>
      </c>
      <c r="L193" t="s">
        <v>21</v>
      </c>
      <c r="M193">
        <v>0</v>
      </c>
      <c r="O193">
        <v>76.900000000000006</v>
      </c>
      <c r="P193" s="2">
        <v>1238</v>
      </c>
    </row>
    <row r="194" spans="1:16" x14ac:dyDescent="0.3">
      <c r="A194" t="s">
        <v>229</v>
      </c>
      <c r="B194" t="s">
        <v>44</v>
      </c>
      <c r="C194" t="s">
        <v>36</v>
      </c>
      <c r="D194" t="s">
        <v>19</v>
      </c>
      <c r="E194">
        <v>24</v>
      </c>
      <c r="F194">
        <v>17</v>
      </c>
      <c r="G194">
        <v>238.9</v>
      </c>
      <c r="H194">
        <v>5.5</v>
      </c>
      <c r="I194">
        <v>3</v>
      </c>
      <c r="J194">
        <v>4</v>
      </c>
      <c r="K194" t="s">
        <v>20</v>
      </c>
      <c r="L194" t="s">
        <v>29</v>
      </c>
      <c r="M194">
        <v>3</v>
      </c>
      <c r="N194" t="s">
        <v>27</v>
      </c>
      <c r="O194">
        <v>76.099999999999994</v>
      </c>
      <c r="P194" s="2">
        <v>1008</v>
      </c>
    </row>
    <row r="195" spans="1:16" x14ac:dyDescent="0.3">
      <c r="A195" t="s">
        <v>230</v>
      </c>
      <c r="B195" t="s">
        <v>47</v>
      </c>
      <c r="C195" t="s">
        <v>18</v>
      </c>
      <c r="D195" t="s">
        <v>19</v>
      </c>
      <c r="E195">
        <v>23</v>
      </c>
      <c r="F195">
        <v>16.7</v>
      </c>
      <c r="G195">
        <v>31.3</v>
      </c>
      <c r="H195">
        <v>7.1</v>
      </c>
      <c r="I195">
        <v>3</v>
      </c>
      <c r="J195">
        <v>4</v>
      </c>
      <c r="K195" t="s">
        <v>20</v>
      </c>
      <c r="L195" t="s">
        <v>29</v>
      </c>
      <c r="M195">
        <v>0</v>
      </c>
      <c r="N195" t="s">
        <v>38</v>
      </c>
      <c r="O195">
        <v>69.8</v>
      </c>
      <c r="P195" s="2">
        <v>1172</v>
      </c>
    </row>
    <row r="196" spans="1:16" x14ac:dyDescent="0.3">
      <c r="A196" t="s">
        <v>231</v>
      </c>
      <c r="B196" t="s">
        <v>47</v>
      </c>
      <c r="C196" t="s">
        <v>78</v>
      </c>
      <c r="D196" t="s">
        <v>19</v>
      </c>
      <c r="E196">
        <v>28</v>
      </c>
      <c r="F196">
        <v>16.5267206477732</v>
      </c>
      <c r="G196">
        <v>18.8</v>
      </c>
      <c r="H196">
        <v>5.4</v>
      </c>
      <c r="I196">
        <v>2</v>
      </c>
      <c r="J196">
        <v>2</v>
      </c>
      <c r="K196" t="s">
        <v>20</v>
      </c>
      <c r="L196" t="s">
        <v>26</v>
      </c>
      <c r="M196">
        <v>0</v>
      </c>
      <c r="N196" t="s">
        <v>27</v>
      </c>
      <c r="O196">
        <v>88.1</v>
      </c>
      <c r="P196" s="2">
        <v>1199</v>
      </c>
    </row>
    <row r="197" spans="1:16" x14ac:dyDescent="0.3">
      <c r="A197" t="s">
        <v>232</v>
      </c>
      <c r="B197" t="s">
        <v>17</v>
      </c>
      <c r="C197" t="s">
        <v>18</v>
      </c>
      <c r="D197" t="s">
        <v>25</v>
      </c>
      <c r="E197">
        <v>21</v>
      </c>
      <c r="F197">
        <v>16.8</v>
      </c>
      <c r="H197">
        <v>7</v>
      </c>
      <c r="I197">
        <v>2</v>
      </c>
      <c r="J197">
        <v>3</v>
      </c>
      <c r="K197" t="s">
        <v>20</v>
      </c>
      <c r="L197" t="s">
        <v>42</v>
      </c>
      <c r="M197">
        <v>1</v>
      </c>
      <c r="O197">
        <v>71.2</v>
      </c>
      <c r="P197" s="2">
        <v>1243</v>
      </c>
    </row>
    <row r="198" spans="1:16" x14ac:dyDescent="0.3">
      <c r="A198" t="s">
        <v>233</v>
      </c>
      <c r="B198" t="s">
        <v>33</v>
      </c>
      <c r="C198" t="s">
        <v>78</v>
      </c>
      <c r="D198" t="s">
        <v>19</v>
      </c>
      <c r="E198">
        <v>21</v>
      </c>
      <c r="F198">
        <v>12.8</v>
      </c>
      <c r="G198">
        <v>23.7</v>
      </c>
      <c r="H198">
        <v>6.4</v>
      </c>
      <c r="I198">
        <v>4</v>
      </c>
      <c r="J198">
        <v>5</v>
      </c>
      <c r="K198" t="s">
        <v>20</v>
      </c>
      <c r="L198" t="s">
        <v>29</v>
      </c>
      <c r="M198">
        <v>0</v>
      </c>
      <c r="N198" t="s">
        <v>27</v>
      </c>
      <c r="O198">
        <v>73.7</v>
      </c>
      <c r="P198" s="2">
        <v>1111</v>
      </c>
    </row>
    <row r="199" spans="1:16" x14ac:dyDescent="0.3">
      <c r="A199" t="s">
        <v>234</v>
      </c>
      <c r="B199" t="s">
        <v>24</v>
      </c>
      <c r="C199" t="s">
        <v>36</v>
      </c>
      <c r="D199" t="s">
        <v>19</v>
      </c>
      <c r="E199">
        <v>23</v>
      </c>
      <c r="F199">
        <v>12.3</v>
      </c>
      <c r="G199">
        <v>17.399999999999999</v>
      </c>
      <c r="H199">
        <v>5.8</v>
      </c>
      <c r="I199">
        <v>3</v>
      </c>
      <c r="J199">
        <v>3</v>
      </c>
      <c r="K199" t="s">
        <v>20</v>
      </c>
      <c r="L199" t="s">
        <v>37</v>
      </c>
      <c r="M199">
        <v>2</v>
      </c>
      <c r="O199">
        <v>81.7</v>
      </c>
      <c r="P199" s="2">
        <v>1092</v>
      </c>
    </row>
    <row r="200" spans="1:16" x14ac:dyDescent="0.3">
      <c r="A200" t="s">
        <v>235</v>
      </c>
      <c r="B200" t="s">
        <v>44</v>
      </c>
      <c r="C200" t="s">
        <v>18</v>
      </c>
      <c r="D200" t="s">
        <v>25</v>
      </c>
      <c r="E200">
        <v>24</v>
      </c>
      <c r="F200">
        <v>17.8</v>
      </c>
      <c r="G200">
        <v>25.1</v>
      </c>
      <c r="H200">
        <v>6.9</v>
      </c>
      <c r="I200">
        <v>2</v>
      </c>
      <c r="J200">
        <v>4</v>
      </c>
      <c r="K200" t="s">
        <v>34</v>
      </c>
      <c r="L200" t="s">
        <v>26</v>
      </c>
      <c r="M200">
        <v>0</v>
      </c>
      <c r="N200" t="s">
        <v>38</v>
      </c>
      <c r="O200">
        <v>83.1</v>
      </c>
      <c r="P200" s="2">
        <v>1084</v>
      </c>
    </row>
    <row r="201" spans="1:16" x14ac:dyDescent="0.3">
      <c r="A201" t="s">
        <v>236</v>
      </c>
      <c r="B201" t="s">
        <v>47</v>
      </c>
      <c r="C201" t="s">
        <v>18</v>
      </c>
      <c r="D201" t="s">
        <v>25</v>
      </c>
      <c r="E201">
        <v>23</v>
      </c>
      <c r="F201">
        <v>17.8</v>
      </c>
      <c r="G201">
        <v>28.4</v>
      </c>
      <c r="H201">
        <v>7.5</v>
      </c>
      <c r="I201">
        <v>2</v>
      </c>
      <c r="J201">
        <v>3</v>
      </c>
      <c r="K201" t="s">
        <v>20</v>
      </c>
      <c r="L201" t="s">
        <v>21</v>
      </c>
      <c r="M201">
        <v>0</v>
      </c>
      <c r="O201">
        <v>75.400000000000006</v>
      </c>
      <c r="P201" s="2">
        <v>1130</v>
      </c>
    </row>
    <row r="202" spans="1:16" x14ac:dyDescent="0.3">
      <c r="A202" t="s">
        <v>237</v>
      </c>
      <c r="B202" t="s">
        <v>47</v>
      </c>
      <c r="C202" t="s">
        <v>31</v>
      </c>
      <c r="D202" t="s">
        <v>25</v>
      </c>
      <c r="E202">
        <v>24</v>
      </c>
      <c r="F202">
        <v>11.7</v>
      </c>
      <c r="G202">
        <v>32.9</v>
      </c>
      <c r="H202">
        <v>9</v>
      </c>
      <c r="I202">
        <v>4</v>
      </c>
      <c r="J202">
        <v>4</v>
      </c>
      <c r="K202" t="s">
        <v>20</v>
      </c>
      <c r="L202" t="s">
        <v>29</v>
      </c>
      <c r="M202">
        <v>1</v>
      </c>
      <c r="N202" t="s">
        <v>38</v>
      </c>
      <c r="O202">
        <v>69.3</v>
      </c>
      <c r="P202" s="2">
        <v>1053</v>
      </c>
    </row>
    <row r="203" spans="1:16" x14ac:dyDescent="0.3">
      <c r="A203" t="s">
        <v>238</v>
      </c>
      <c r="B203" t="s">
        <v>47</v>
      </c>
      <c r="C203" t="s">
        <v>36</v>
      </c>
      <c r="D203" t="s">
        <v>19</v>
      </c>
      <c r="E203">
        <v>20</v>
      </c>
      <c r="F203">
        <v>17.100000000000001</v>
      </c>
      <c r="G203">
        <v>17.600000000000001</v>
      </c>
      <c r="H203">
        <v>8.9</v>
      </c>
      <c r="I203">
        <v>5</v>
      </c>
      <c r="J203">
        <v>2</v>
      </c>
      <c r="K203" t="s">
        <v>20</v>
      </c>
      <c r="L203" t="s">
        <v>29</v>
      </c>
      <c r="M203">
        <v>2</v>
      </c>
      <c r="O203">
        <v>94.9</v>
      </c>
      <c r="P203" s="2">
        <v>1090</v>
      </c>
    </row>
    <row r="204" spans="1:16" x14ac:dyDescent="0.3">
      <c r="A204" t="s">
        <v>239</v>
      </c>
      <c r="B204" t="s">
        <v>47</v>
      </c>
      <c r="C204" t="s">
        <v>31</v>
      </c>
      <c r="D204" t="s">
        <v>19</v>
      </c>
      <c r="E204">
        <v>27</v>
      </c>
      <c r="F204">
        <v>15.2</v>
      </c>
      <c r="G204">
        <v>13.1</v>
      </c>
      <c r="H204">
        <v>6.8</v>
      </c>
      <c r="I204">
        <v>5</v>
      </c>
      <c r="J204">
        <v>5</v>
      </c>
      <c r="K204" t="s">
        <v>20</v>
      </c>
      <c r="L204" t="s">
        <v>26</v>
      </c>
      <c r="M204">
        <v>2</v>
      </c>
      <c r="N204" t="s">
        <v>45</v>
      </c>
      <c r="O204">
        <v>86.3</v>
      </c>
      <c r="P204" s="2">
        <v>1009</v>
      </c>
    </row>
    <row r="205" spans="1:16" x14ac:dyDescent="0.3">
      <c r="A205" t="s">
        <v>240</v>
      </c>
      <c r="B205" t="s">
        <v>17</v>
      </c>
      <c r="C205" t="s">
        <v>62</v>
      </c>
      <c r="D205" t="s">
        <v>19</v>
      </c>
      <c r="E205">
        <v>26</v>
      </c>
      <c r="F205">
        <v>23.3</v>
      </c>
      <c r="G205">
        <v>191.9</v>
      </c>
      <c r="H205">
        <v>6.1</v>
      </c>
      <c r="I205">
        <v>7</v>
      </c>
      <c r="J205">
        <v>4</v>
      </c>
      <c r="K205" t="s">
        <v>20</v>
      </c>
      <c r="L205" t="s">
        <v>37</v>
      </c>
      <c r="M205">
        <v>2</v>
      </c>
      <c r="N205" t="s">
        <v>27</v>
      </c>
      <c r="O205">
        <v>74.3</v>
      </c>
      <c r="P205" s="2">
        <v>1014</v>
      </c>
    </row>
    <row r="206" spans="1:16" x14ac:dyDescent="0.3">
      <c r="A206" t="s">
        <v>241</v>
      </c>
      <c r="B206" t="s">
        <v>17</v>
      </c>
      <c r="C206" t="s">
        <v>31</v>
      </c>
      <c r="D206" t="s">
        <v>25</v>
      </c>
      <c r="E206">
        <v>25</v>
      </c>
      <c r="F206">
        <v>16.399999999999999</v>
      </c>
      <c r="G206">
        <v>39.200000000000003</v>
      </c>
      <c r="H206">
        <v>6.7</v>
      </c>
      <c r="I206">
        <v>3</v>
      </c>
      <c r="J206">
        <v>2</v>
      </c>
      <c r="K206" t="s">
        <v>20</v>
      </c>
      <c r="L206" t="s">
        <v>42</v>
      </c>
      <c r="M206">
        <v>2</v>
      </c>
      <c r="N206" t="s">
        <v>38</v>
      </c>
      <c r="O206">
        <v>86.1</v>
      </c>
      <c r="P206" s="2">
        <v>1060</v>
      </c>
    </row>
    <row r="207" spans="1:16" x14ac:dyDescent="0.3">
      <c r="A207" t="s">
        <v>242</v>
      </c>
      <c r="B207" t="s">
        <v>24</v>
      </c>
      <c r="C207" t="s">
        <v>31</v>
      </c>
      <c r="D207" t="s">
        <v>25</v>
      </c>
      <c r="E207">
        <v>24</v>
      </c>
      <c r="F207">
        <v>21.6</v>
      </c>
      <c r="G207">
        <v>21.3</v>
      </c>
      <c r="H207">
        <v>7.5</v>
      </c>
      <c r="I207">
        <v>4</v>
      </c>
      <c r="J207">
        <v>3</v>
      </c>
      <c r="K207" t="s">
        <v>20</v>
      </c>
      <c r="L207" t="s">
        <v>37</v>
      </c>
      <c r="M207">
        <v>1</v>
      </c>
      <c r="N207" t="s">
        <v>27</v>
      </c>
      <c r="O207">
        <v>66.900000000000006</v>
      </c>
      <c r="P207" s="2">
        <v>1249</v>
      </c>
    </row>
    <row r="208" spans="1:16" x14ac:dyDescent="0.3">
      <c r="A208" t="s">
        <v>243</v>
      </c>
      <c r="B208" t="s">
        <v>24</v>
      </c>
      <c r="C208" t="s">
        <v>18</v>
      </c>
      <c r="D208" t="s">
        <v>19</v>
      </c>
      <c r="E208">
        <v>22</v>
      </c>
      <c r="F208">
        <v>16.5267206477732</v>
      </c>
      <c r="G208">
        <v>58.4</v>
      </c>
      <c r="H208">
        <v>7.1</v>
      </c>
      <c r="I208">
        <v>4</v>
      </c>
      <c r="J208">
        <v>5</v>
      </c>
      <c r="K208" t="s">
        <v>20</v>
      </c>
      <c r="L208" t="s">
        <v>21</v>
      </c>
      <c r="M208">
        <v>0</v>
      </c>
      <c r="N208" t="s">
        <v>22</v>
      </c>
      <c r="O208">
        <v>75.400000000000006</v>
      </c>
      <c r="P208" s="2">
        <v>1132</v>
      </c>
    </row>
    <row r="209" spans="1:16" x14ac:dyDescent="0.3">
      <c r="A209" t="s">
        <v>244</v>
      </c>
      <c r="B209" t="s">
        <v>17</v>
      </c>
      <c r="C209" t="s">
        <v>18</v>
      </c>
      <c r="D209" t="s">
        <v>19</v>
      </c>
      <c r="E209">
        <v>25</v>
      </c>
      <c r="F209">
        <v>13.4</v>
      </c>
      <c r="G209">
        <v>79.3</v>
      </c>
      <c r="H209">
        <v>6.3</v>
      </c>
      <c r="I209">
        <v>3</v>
      </c>
      <c r="J209">
        <v>4</v>
      </c>
      <c r="K209" t="s">
        <v>20</v>
      </c>
      <c r="L209" t="s">
        <v>26</v>
      </c>
      <c r="M209">
        <v>1</v>
      </c>
      <c r="O209">
        <v>77.8</v>
      </c>
      <c r="P209" s="2">
        <v>1018</v>
      </c>
    </row>
    <row r="210" spans="1:16" x14ac:dyDescent="0.3">
      <c r="A210" t="s">
        <v>245</v>
      </c>
      <c r="B210" t="s">
        <v>44</v>
      </c>
      <c r="C210" t="s">
        <v>31</v>
      </c>
      <c r="D210" t="s">
        <v>19</v>
      </c>
      <c r="E210">
        <v>24</v>
      </c>
      <c r="F210">
        <v>17.899999999999999</v>
      </c>
      <c r="G210">
        <v>30.2</v>
      </c>
      <c r="H210">
        <v>7.4</v>
      </c>
      <c r="I210">
        <v>3</v>
      </c>
      <c r="J210">
        <v>4</v>
      </c>
      <c r="K210" t="s">
        <v>20</v>
      </c>
      <c r="L210" t="s">
        <v>26</v>
      </c>
      <c r="M210">
        <v>0</v>
      </c>
      <c r="N210" t="s">
        <v>45</v>
      </c>
      <c r="O210">
        <v>78.599999999999994</v>
      </c>
      <c r="P210" s="2">
        <v>1167</v>
      </c>
    </row>
    <row r="211" spans="1:16" x14ac:dyDescent="0.3">
      <c r="A211" t="s">
        <v>246</v>
      </c>
      <c r="B211" t="s">
        <v>44</v>
      </c>
      <c r="C211" t="s">
        <v>78</v>
      </c>
      <c r="D211" t="s">
        <v>19</v>
      </c>
      <c r="E211">
        <v>22</v>
      </c>
      <c r="F211">
        <v>14.9</v>
      </c>
      <c r="G211">
        <v>16.399999999999999</v>
      </c>
      <c r="H211">
        <v>7.9</v>
      </c>
      <c r="I211">
        <v>2</v>
      </c>
      <c r="J211">
        <v>2</v>
      </c>
      <c r="K211" t="s">
        <v>20</v>
      </c>
      <c r="L211" t="s">
        <v>26</v>
      </c>
      <c r="M211">
        <v>2</v>
      </c>
      <c r="N211" t="s">
        <v>45</v>
      </c>
      <c r="O211">
        <v>75.8</v>
      </c>
      <c r="P211" s="2">
        <v>1073</v>
      </c>
    </row>
    <row r="212" spans="1:16" x14ac:dyDescent="0.3">
      <c r="A212" t="s">
        <v>247</v>
      </c>
      <c r="B212" t="s">
        <v>17</v>
      </c>
      <c r="C212" t="s">
        <v>31</v>
      </c>
      <c r="D212" t="s">
        <v>25</v>
      </c>
      <c r="E212">
        <v>30</v>
      </c>
      <c r="F212">
        <v>20</v>
      </c>
      <c r="G212">
        <v>62.8</v>
      </c>
      <c r="H212">
        <v>5.3</v>
      </c>
      <c r="I212">
        <v>2</v>
      </c>
      <c r="J212">
        <v>3</v>
      </c>
      <c r="K212" t="s">
        <v>34</v>
      </c>
      <c r="L212" t="s">
        <v>26</v>
      </c>
      <c r="M212">
        <v>1</v>
      </c>
      <c r="N212" t="s">
        <v>22</v>
      </c>
      <c r="O212">
        <v>72.599999999999994</v>
      </c>
      <c r="P212" s="2">
        <v>1255</v>
      </c>
    </row>
    <row r="213" spans="1:16" x14ac:dyDescent="0.3">
      <c r="A213" t="s">
        <v>248</v>
      </c>
      <c r="B213" t="s">
        <v>17</v>
      </c>
      <c r="C213" t="s">
        <v>31</v>
      </c>
      <c r="D213" t="s">
        <v>19</v>
      </c>
      <c r="E213">
        <v>21</v>
      </c>
      <c r="F213">
        <v>16.100000000000001</v>
      </c>
      <c r="G213">
        <v>46.8</v>
      </c>
      <c r="H213">
        <v>6.2</v>
      </c>
      <c r="I213">
        <v>4</v>
      </c>
      <c r="J213">
        <v>4</v>
      </c>
      <c r="K213" t="s">
        <v>20</v>
      </c>
      <c r="L213" t="s">
        <v>37</v>
      </c>
      <c r="M213">
        <v>2</v>
      </c>
      <c r="N213" t="s">
        <v>27</v>
      </c>
      <c r="O213">
        <v>68.400000000000006</v>
      </c>
      <c r="P213" s="2">
        <v>1135</v>
      </c>
    </row>
    <row r="214" spans="1:16" x14ac:dyDescent="0.3">
      <c r="A214" t="s">
        <v>249</v>
      </c>
      <c r="B214" t="s">
        <v>33</v>
      </c>
      <c r="C214" t="s">
        <v>31</v>
      </c>
      <c r="D214" t="s">
        <v>19</v>
      </c>
      <c r="E214">
        <v>24</v>
      </c>
      <c r="F214">
        <v>21.8</v>
      </c>
      <c r="G214">
        <v>105.1</v>
      </c>
      <c r="H214">
        <v>7</v>
      </c>
      <c r="I214">
        <v>4</v>
      </c>
      <c r="J214">
        <v>4</v>
      </c>
      <c r="K214" t="s">
        <v>34</v>
      </c>
      <c r="L214" t="s">
        <v>26</v>
      </c>
      <c r="M214">
        <v>0</v>
      </c>
      <c r="N214" t="s">
        <v>22</v>
      </c>
      <c r="O214">
        <v>87</v>
      </c>
      <c r="P214" s="2">
        <v>1250</v>
      </c>
    </row>
    <row r="215" spans="1:16" x14ac:dyDescent="0.3">
      <c r="A215" t="s">
        <v>250</v>
      </c>
      <c r="B215" t="s">
        <v>33</v>
      </c>
      <c r="C215" t="s">
        <v>36</v>
      </c>
      <c r="D215" t="s">
        <v>25</v>
      </c>
      <c r="E215">
        <v>24</v>
      </c>
      <c r="F215">
        <v>8</v>
      </c>
      <c r="G215">
        <v>16.8</v>
      </c>
      <c r="H215">
        <v>6.8</v>
      </c>
      <c r="I215">
        <v>2</v>
      </c>
      <c r="J215">
        <v>4</v>
      </c>
      <c r="K215" t="s">
        <v>20</v>
      </c>
      <c r="L215" t="s">
        <v>42</v>
      </c>
      <c r="M215">
        <v>3</v>
      </c>
      <c r="O215">
        <v>73.3</v>
      </c>
      <c r="P215" s="2">
        <v>1229</v>
      </c>
    </row>
    <row r="216" spans="1:16" x14ac:dyDescent="0.3">
      <c r="A216" t="s">
        <v>335</v>
      </c>
      <c r="B216" t="s">
        <v>47</v>
      </c>
      <c r="C216" t="s">
        <v>31</v>
      </c>
      <c r="D216" t="s">
        <v>25</v>
      </c>
      <c r="E216">
        <v>20</v>
      </c>
      <c r="F216">
        <v>16.8</v>
      </c>
      <c r="G216">
        <v>25</v>
      </c>
      <c r="H216">
        <v>6</v>
      </c>
      <c r="I216">
        <v>5</v>
      </c>
      <c r="J216">
        <v>4</v>
      </c>
      <c r="K216" t="s">
        <v>34</v>
      </c>
      <c r="L216" t="s">
        <v>29</v>
      </c>
      <c r="M216">
        <v>0</v>
      </c>
      <c r="N216" t="s">
        <v>27</v>
      </c>
      <c r="O216">
        <v>77</v>
      </c>
      <c r="P216" s="2">
        <v>1260</v>
      </c>
    </row>
    <row r="217" spans="1:16" x14ac:dyDescent="0.3">
      <c r="A217" t="s">
        <v>251</v>
      </c>
      <c r="B217" t="s">
        <v>44</v>
      </c>
      <c r="C217" t="s">
        <v>31</v>
      </c>
      <c r="D217" t="s">
        <v>19</v>
      </c>
      <c r="E217">
        <v>28</v>
      </c>
      <c r="F217">
        <v>8.6999999999999993</v>
      </c>
      <c r="G217">
        <v>63.8</v>
      </c>
      <c r="H217">
        <v>6.8</v>
      </c>
      <c r="I217">
        <v>4</v>
      </c>
      <c r="J217">
        <v>3</v>
      </c>
      <c r="K217" t="s">
        <v>34</v>
      </c>
      <c r="L217" t="s">
        <v>21</v>
      </c>
      <c r="M217">
        <v>0</v>
      </c>
      <c r="N217" t="s">
        <v>45</v>
      </c>
      <c r="O217">
        <v>73.3</v>
      </c>
      <c r="P217" s="2">
        <v>1064</v>
      </c>
    </row>
    <row r="218" spans="1:16" x14ac:dyDescent="0.3">
      <c r="A218" t="s">
        <v>252</v>
      </c>
      <c r="B218" t="s">
        <v>17</v>
      </c>
      <c r="C218" t="s">
        <v>18</v>
      </c>
      <c r="D218" t="s">
        <v>19</v>
      </c>
      <c r="E218">
        <v>21</v>
      </c>
      <c r="F218">
        <v>20.100000000000001</v>
      </c>
      <c r="G218">
        <v>65.5</v>
      </c>
      <c r="H218">
        <v>6.8</v>
      </c>
      <c r="I218">
        <v>2</v>
      </c>
      <c r="J218">
        <v>4</v>
      </c>
      <c r="K218" t="s">
        <v>20</v>
      </c>
      <c r="L218" t="s">
        <v>37</v>
      </c>
      <c r="M218">
        <v>0</v>
      </c>
      <c r="N218" t="s">
        <v>22</v>
      </c>
      <c r="O218">
        <v>92.7</v>
      </c>
      <c r="P218" s="2">
        <v>1055</v>
      </c>
    </row>
    <row r="219" spans="1:16" x14ac:dyDescent="0.3">
      <c r="A219" t="s">
        <v>253</v>
      </c>
      <c r="B219" t="s">
        <v>17</v>
      </c>
      <c r="C219" t="s">
        <v>31</v>
      </c>
      <c r="D219" t="s">
        <v>25</v>
      </c>
      <c r="E219">
        <v>25</v>
      </c>
      <c r="F219">
        <v>20.2</v>
      </c>
      <c r="G219">
        <v>42.6</v>
      </c>
      <c r="H219">
        <v>6.8</v>
      </c>
      <c r="I219">
        <v>6</v>
      </c>
      <c r="J219">
        <v>2</v>
      </c>
      <c r="K219" t="s">
        <v>20</v>
      </c>
      <c r="L219" t="s">
        <v>37</v>
      </c>
      <c r="M219">
        <v>2</v>
      </c>
      <c r="O219">
        <v>76.599999999999994</v>
      </c>
      <c r="P219" s="2">
        <v>1051</v>
      </c>
    </row>
    <row r="220" spans="1:16" x14ac:dyDescent="0.3">
      <c r="A220" t="s">
        <v>254</v>
      </c>
      <c r="B220" t="s">
        <v>33</v>
      </c>
      <c r="C220" t="s">
        <v>31</v>
      </c>
      <c r="D220" t="s">
        <v>19</v>
      </c>
      <c r="E220">
        <v>23</v>
      </c>
      <c r="F220">
        <v>10.199999999999999</v>
      </c>
      <c r="G220">
        <v>23.1</v>
      </c>
      <c r="H220">
        <v>6.8</v>
      </c>
      <c r="I220">
        <v>2</v>
      </c>
      <c r="J220">
        <v>4</v>
      </c>
      <c r="K220" t="s">
        <v>20</v>
      </c>
      <c r="L220" t="s">
        <v>42</v>
      </c>
      <c r="M220">
        <v>0</v>
      </c>
      <c r="N220" t="s">
        <v>27</v>
      </c>
      <c r="O220">
        <v>74.599999999999994</v>
      </c>
      <c r="P220" s="2">
        <v>1239</v>
      </c>
    </row>
    <row r="221" spans="1:16" x14ac:dyDescent="0.3">
      <c r="A221" t="s">
        <v>255</v>
      </c>
      <c r="B221" t="s">
        <v>24</v>
      </c>
      <c r="C221" t="s">
        <v>18</v>
      </c>
      <c r="D221" t="s">
        <v>19</v>
      </c>
      <c r="E221">
        <v>24</v>
      </c>
      <c r="F221">
        <v>15.1</v>
      </c>
      <c r="G221">
        <v>6.3</v>
      </c>
      <c r="H221">
        <v>7.5</v>
      </c>
      <c r="I221">
        <v>3</v>
      </c>
      <c r="J221">
        <v>4</v>
      </c>
      <c r="K221" t="s">
        <v>20</v>
      </c>
      <c r="L221" t="s">
        <v>21</v>
      </c>
      <c r="M221">
        <v>0</v>
      </c>
      <c r="N221" t="s">
        <v>27</v>
      </c>
      <c r="O221">
        <v>78.933811475409797</v>
      </c>
      <c r="P221" s="2">
        <v>1175</v>
      </c>
    </row>
    <row r="222" spans="1:16" x14ac:dyDescent="0.3">
      <c r="A222" t="s">
        <v>256</v>
      </c>
      <c r="B222" t="s">
        <v>44</v>
      </c>
      <c r="C222" t="s">
        <v>31</v>
      </c>
      <c r="D222" t="s">
        <v>19</v>
      </c>
      <c r="E222">
        <v>20</v>
      </c>
      <c r="F222">
        <v>2</v>
      </c>
      <c r="G222">
        <v>25.2</v>
      </c>
      <c r="H222">
        <v>6.9</v>
      </c>
      <c r="I222">
        <v>1</v>
      </c>
      <c r="J222">
        <v>4</v>
      </c>
      <c r="K222" t="s">
        <v>20</v>
      </c>
      <c r="L222" t="s">
        <v>29</v>
      </c>
      <c r="M222">
        <v>0</v>
      </c>
      <c r="N222" t="s">
        <v>27</v>
      </c>
      <c r="O222">
        <v>53.3</v>
      </c>
      <c r="P222" s="2">
        <v>1240</v>
      </c>
    </row>
    <row r="223" spans="1:16" x14ac:dyDescent="0.3">
      <c r="A223" t="s">
        <v>257</v>
      </c>
      <c r="B223" t="s">
        <v>17</v>
      </c>
      <c r="C223" t="s">
        <v>31</v>
      </c>
      <c r="D223" t="s">
        <v>19</v>
      </c>
      <c r="E223">
        <v>24</v>
      </c>
      <c r="F223">
        <v>13.4</v>
      </c>
      <c r="G223">
        <v>7.2</v>
      </c>
      <c r="H223">
        <v>7.3</v>
      </c>
      <c r="I223">
        <v>4</v>
      </c>
      <c r="J223">
        <v>3</v>
      </c>
      <c r="K223" t="s">
        <v>20</v>
      </c>
      <c r="L223" t="s">
        <v>26</v>
      </c>
      <c r="M223">
        <v>2</v>
      </c>
      <c r="N223" t="s">
        <v>27</v>
      </c>
      <c r="O223">
        <v>70.900000000000006</v>
      </c>
      <c r="P223" s="2">
        <v>1190</v>
      </c>
    </row>
    <row r="224" spans="1:16" x14ac:dyDescent="0.3">
      <c r="A224" t="s">
        <v>258</v>
      </c>
      <c r="B224" t="s">
        <v>24</v>
      </c>
      <c r="C224" t="s">
        <v>78</v>
      </c>
      <c r="D224" t="s">
        <v>19</v>
      </c>
      <c r="E224">
        <v>25</v>
      </c>
      <c r="F224">
        <v>18.5</v>
      </c>
      <c r="G224">
        <v>26.9</v>
      </c>
      <c r="H224">
        <v>6.8</v>
      </c>
      <c r="I224">
        <v>2</v>
      </c>
      <c r="J224">
        <v>4</v>
      </c>
      <c r="K224" t="s">
        <v>34</v>
      </c>
      <c r="L224" t="s">
        <v>26</v>
      </c>
      <c r="M224">
        <v>1</v>
      </c>
      <c r="N224" t="s">
        <v>27</v>
      </c>
      <c r="O224">
        <v>86.8</v>
      </c>
      <c r="P224" s="2">
        <v>1015</v>
      </c>
    </row>
    <row r="225" spans="1:16" x14ac:dyDescent="0.3">
      <c r="A225" t="s">
        <v>259</v>
      </c>
      <c r="B225" t="s">
        <v>24</v>
      </c>
      <c r="C225" t="s">
        <v>78</v>
      </c>
      <c r="D225" t="s">
        <v>19</v>
      </c>
      <c r="E225">
        <v>23</v>
      </c>
      <c r="F225">
        <v>15.1</v>
      </c>
      <c r="G225">
        <v>36.6</v>
      </c>
      <c r="H225">
        <v>6.8</v>
      </c>
      <c r="I225">
        <v>3</v>
      </c>
      <c r="J225">
        <v>4</v>
      </c>
      <c r="K225" t="s">
        <v>20</v>
      </c>
      <c r="L225" t="s">
        <v>26</v>
      </c>
      <c r="M225">
        <v>0</v>
      </c>
      <c r="N225" t="s">
        <v>22</v>
      </c>
      <c r="O225">
        <v>85.3</v>
      </c>
      <c r="P225" s="2">
        <v>1208</v>
      </c>
    </row>
    <row r="226" spans="1:16" x14ac:dyDescent="0.3">
      <c r="A226" t="s">
        <v>260</v>
      </c>
      <c r="B226" t="s">
        <v>17</v>
      </c>
      <c r="C226" t="s">
        <v>36</v>
      </c>
      <c r="D226" t="s">
        <v>19</v>
      </c>
      <c r="E226">
        <v>22</v>
      </c>
      <c r="F226">
        <v>12.2</v>
      </c>
      <c r="G226">
        <v>44.8</v>
      </c>
      <c r="H226">
        <v>8.5</v>
      </c>
      <c r="I226">
        <v>4</v>
      </c>
      <c r="J226">
        <v>4</v>
      </c>
      <c r="K226" t="s">
        <v>20</v>
      </c>
      <c r="L226" t="s">
        <v>29</v>
      </c>
      <c r="M226">
        <v>2</v>
      </c>
      <c r="N226" t="s">
        <v>27</v>
      </c>
      <c r="O226">
        <v>77.099999999999994</v>
      </c>
      <c r="P226" s="2">
        <v>1256</v>
      </c>
    </row>
    <row r="227" spans="1:16" x14ac:dyDescent="0.3">
      <c r="A227" t="s">
        <v>261</v>
      </c>
      <c r="B227" t="s">
        <v>44</v>
      </c>
      <c r="C227" t="s">
        <v>31</v>
      </c>
      <c r="D227" t="s">
        <v>19</v>
      </c>
      <c r="E227">
        <v>21</v>
      </c>
      <c r="F227">
        <v>14.5</v>
      </c>
      <c r="G227">
        <v>13.2</v>
      </c>
      <c r="H227">
        <v>9.5</v>
      </c>
      <c r="I227">
        <v>3</v>
      </c>
      <c r="J227">
        <v>3</v>
      </c>
      <c r="K227" t="s">
        <v>20</v>
      </c>
      <c r="L227" t="s">
        <v>37</v>
      </c>
      <c r="M227">
        <v>3</v>
      </c>
      <c r="N227" t="s">
        <v>27</v>
      </c>
      <c r="O227">
        <v>92.3</v>
      </c>
      <c r="P227" s="2">
        <v>1220</v>
      </c>
    </row>
    <row r="228" spans="1:16" x14ac:dyDescent="0.3">
      <c r="A228" t="s">
        <v>262</v>
      </c>
      <c r="B228" t="s">
        <v>17</v>
      </c>
      <c r="C228" t="s">
        <v>78</v>
      </c>
      <c r="D228" t="s">
        <v>19</v>
      </c>
      <c r="E228">
        <v>21</v>
      </c>
      <c r="F228">
        <v>16.100000000000001</v>
      </c>
      <c r="G228">
        <v>92</v>
      </c>
      <c r="H228">
        <v>6.8</v>
      </c>
      <c r="I228">
        <v>1</v>
      </c>
      <c r="J228">
        <v>5</v>
      </c>
      <c r="K228" t="s">
        <v>20</v>
      </c>
      <c r="L228" t="s">
        <v>29</v>
      </c>
      <c r="M228">
        <v>1</v>
      </c>
      <c r="N228" t="s">
        <v>38</v>
      </c>
      <c r="O228">
        <v>70</v>
      </c>
      <c r="P228" s="2">
        <v>1170</v>
      </c>
    </row>
    <row r="229" spans="1:16" x14ac:dyDescent="0.3">
      <c r="A229" t="s">
        <v>263</v>
      </c>
      <c r="B229" t="s">
        <v>17</v>
      </c>
      <c r="C229" t="s">
        <v>18</v>
      </c>
      <c r="D229" t="s">
        <v>25</v>
      </c>
      <c r="E229">
        <v>21</v>
      </c>
      <c r="F229">
        <v>22.8</v>
      </c>
      <c r="G229">
        <v>142.30000000000001</v>
      </c>
      <c r="H229">
        <v>7.1</v>
      </c>
      <c r="I229">
        <v>2</v>
      </c>
      <c r="J229">
        <v>4</v>
      </c>
      <c r="K229" t="s">
        <v>34</v>
      </c>
      <c r="L229" t="s">
        <v>42</v>
      </c>
      <c r="M229">
        <v>1</v>
      </c>
      <c r="N229" t="s">
        <v>45</v>
      </c>
      <c r="O229">
        <v>85.3</v>
      </c>
      <c r="P229" s="2">
        <v>1059</v>
      </c>
    </row>
    <row r="230" spans="1:16" x14ac:dyDescent="0.3">
      <c r="A230" t="s">
        <v>264</v>
      </c>
      <c r="B230" t="s">
        <v>44</v>
      </c>
      <c r="C230" t="s">
        <v>31</v>
      </c>
      <c r="D230" t="s">
        <v>19</v>
      </c>
      <c r="E230">
        <v>20</v>
      </c>
      <c r="F230">
        <v>20.5</v>
      </c>
      <c r="G230">
        <v>25.9</v>
      </c>
      <c r="H230">
        <v>8.1999999999999993</v>
      </c>
      <c r="I230">
        <v>5</v>
      </c>
      <c r="J230">
        <v>3</v>
      </c>
      <c r="K230" t="s">
        <v>20</v>
      </c>
      <c r="L230" t="s">
        <v>29</v>
      </c>
      <c r="M230">
        <v>0</v>
      </c>
      <c r="N230" t="s">
        <v>22</v>
      </c>
      <c r="O230">
        <v>94.1</v>
      </c>
      <c r="P230" s="2">
        <v>1219</v>
      </c>
    </row>
    <row r="231" spans="1:16" x14ac:dyDescent="0.3">
      <c r="A231" t="s">
        <v>265</v>
      </c>
      <c r="B231" t="s">
        <v>44</v>
      </c>
      <c r="C231" t="s">
        <v>31</v>
      </c>
      <c r="D231" t="s">
        <v>25</v>
      </c>
      <c r="E231">
        <v>26</v>
      </c>
      <c r="F231">
        <v>19.100000000000001</v>
      </c>
      <c r="G231">
        <v>34.799999999999997</v>
      </c>
      <c r="H231">
        <v>7.6</v>
      </c>
      <c r="I231">
        <v>4</v>
      </c>
      <c r="J231">
        <v>3</v>
      </c>
      <c r="K231" t="s">
        <v>20</v>
      </c>
      <c r="L231" t="s">
        <v>42</v>
      </c>
      <c r="M231">
        <v>0</v>
      </c>
      <c r="N231" t="s">
        <v>38</v>
      </c>
      <c r="O231">
        <v>83.7</v>
      </c>
      <c r="P231" s="2">
        <v>1049</v>
      </c>
    </row>
    <row r="232" spans="1:16" x14ac:dyDescent="0.3">
      <c r="A232" t="s">
        <v>266</v>
      </c>
      <c r="B232" t="s">
        <v>44</v>
      </c>
      <c r="C232" t="s">
        <v>31</v>
      </c>
      <c r="D232" t="s">
        <v>25</v>
      </c>
      <c r="E232">
        <v>22</v>
      </c>
      <c r="F232">
        <v>19.5</v>
      </c>
      <c r="G232">
        <v>110.8</v>
      </c>
      <c r="H232">
        <v>5.9</v>
      </c>
      <c r="I232">
        <v>8</v>
      </c>
      <c r="J232">
        <v>4</v>
      </c>
      <c r="K232" t="s">
        <v>20</v>
      </c>
      <c r="L232" t="s">
        <v>29</v>
      </c>
      <c r="M232">
        <v>2</v>
      </c>
      <c r="N232" t="s">
        <v>45</v>
      </c>
      <c r="O232">
        <v>70.7</v>
      </c>
      <c r="P232" s="2">
        <v>1089</v>
      </c>
    </row>
    <row r="233" spans="1:16" x14ac:dyDescent="0.3">
      <c r="A233" t="s">
        <v>336</v>
      </c>
      <c r="B233" t="s">
        <v>24</v>
      </c>
      <c r="C233" t="s">
        <v>62</v>
      </c>
      <c r="D233" t="s">
        <v>19</v>
      </c>
      <c r="E233">
        <v>24</v>
      </c>
      <c r="F233">
        <v>15.2</v>
      </c>
      <c r="G233">
        <v>24</v>
      </c>
      <c r="H233">
        <v>8.6999999999999993</v>
      </c>
      <c r="I233">
        <v>2</v>
      </c>
      <c r="J233">
        <v>4</v>
      </c>
      <c r="K233" t="s">
        <v>20</v>
      </c>
      <c r="L233" t="s">
        <v>29</v>
      </c>
      <c r="M233">
        <v>4</v>
      </c>
      <c r="O233">
        <v>84.9</v>
      </c>
      <c r="P233" s="2">
        <v>1236</v>
      </c>
    </row>
    <row r="234" spans="1:16" x14ac:dyDescent="0.3">
      <c r="A234" t="s">
        <v>267</v>
      </c>
      <c r="B234" t="s">
        <v>17</v>
      </c>
      <c r="C234" t="s">
        <v>78</v>
      </c>
      <c r="D234" t="s">
        <v>19</v>
      </c>
      <c r="E234">
        <v>21</v>
      </c>
      <c r="F234">
        <v>26.4</v>
      </c>
      <c r="G234">
        <v>50.4</v>
      </c>
      <c r="H234">
        <v>6.8</v>
      </c>
      <c r="I234">
        <v>4</v>
      </c>
      <c r="J234">
        <v>2</v>
      </c>
      <c r="K234" t="s">
        <v>20</v>
      </c>
      <c r="L234" t="s">
        <v>29</v>
      </c>
      <c r="M234">
        <v>2</v>
      </c>
      <c r="N234" t="s">
        <v>45</v>
      </c>
      <c r="O234">
        <v>100</v>
      </c>
      <c r="P234" s="2">
        <v>1022</v>
      </c>
    </row>
    <row r="235" spans="1:16" x14ac:dyDescent="0.3">
      <c r="A235" t="s">
        <v>268</v>
      </c>
      <c r="B235" t="s">
        <v>17</v>
      </c>
      <c r="C235" t="s">
        <v>31</v>
      </c>
      <c r="D235" t="s">
        <v>25</v>
      </c>
      <c r="E235">
        <v>24</v>
      </c>
      <c r="F235">
        <v>20.8</v>
      </c>
      <c r="G235">
        <v>33.1</v>
      </c>
      <c r="H235">
        <v>7</v>
      </c>
      <c r="I235">
        <v>0</v>
      </c>
      <c r="J235">
        <v>4</v>
      </c>
      <c r="K235" t="s">
        <v>20</v>
      </c>
      <c r="L235" t="s">
        <v>29</v>
      </c>
      <c r="M235">
        <v>0</v>
      </c>
      <c r="N235" t="s">
        <v>45</v>
      </c>
      <c r="O235">
        <v>83.6</v>
      </c>
      <c r="P235" s="2">
        <v>1204</v>
      </c>
    </row>
    <row r="236" spans="1:16" x14ac:dyDescent="0.3">
      <c r="A236" t="s">
        <v>269</v>
      </c>
      <c r="B236" t="s">
        <v>17</v>
      </c>
      <c r="C236" t="s">
        <v>31</v>
      </c>
      <c r="D236" t="s">
        <v>25</v>
      </c>
      <c r="E236">
        <v>27</v>
      </c>
      <c r="F236">
        <v>27.8</v>
      </c>
      <c r="G236">
        <v>38.1</v>
      </c>
      <c r="H236">
        <v>6.5</v>
      </c>
      <c r="I236">
        <v>2</v>
      </c>
      <c r="J236">
        <v>4</v>
      </c>
      <c r="K236" t="s">
        <v>20</v>
      </c>
      <c r="L236" t="s">
        <v>26</v>
      </c>
      <c r="M236">
        <v>2</v>
      </c>
      <c r="N236" t="s">
        <v>38</v>
      </c>
      <c r="O236">
        <v>100</v>
      </c>
      <c r="P236" s="2">
        <v>1161</v>
      </c>
    </row>
    <row r="237" spans="1:16" x14ac:dyDescent="0.3">
      <c r="A237" t="s">
        <v>270</v>
      </c>
      <c r="B237" t="s">
        <v>17</v>
      </c>
      <c r="C237" t="s">
        <v>36</v>
      </c>
      <c r="D237" t="s">
        <v>25</v>
      </c>
      <c r="E237">
        <v>23</v>
      </c>
      <c r="F237">
        <v>21.1</v>
      </c>
      <c r="H237">
        <v>6.8</v>
      </c>
      <c r="I237">
        <v>4</v>
      </c>
      <c r="J237">
        <v>3</v>
      </c>
      <c r="K237" t="s">
        <v>20</v>
      </c>
      <c r="L237" t="s">
        <v>29</v>
      </c>
      <c r="M237">
        <v>1</v>
      </c>
      <c r="N237" t="s">
        <v>45</v>
      </c>
      <c r="O237">
        <v>93.3</v>
      </c>
      <c r="P237" s="2">
        <v>1188</v>
      </c>
    </row>
    <row r="238" spans="1:16" x14ac:dyDescent="0.3">
      <c r="A238" t="s">
        <v>271</v>
      </c>
      <c r="B238" t="s">
        <v>17</v>
      </c>
      <c r="C238" t="s">
        <v>31</v>
      </c>
      <c r="D238" t="s">
        <v>25</v>
      </c>
      <c r="E238">
        <v>21</v>
      </c>
      <c r="F238">
        <v>20.7</v>
      </c>
      <c r="G238">
        <v>36.299999999999997</v>
      </c>
      <c r="H238">
        <v>4.5</v>
      </c>
      <c r="I238">
        <v>4</v>
      </c>
      <c r="J238">
        <v>4</v>
      </c>
      <c r="K238" t="s">
        <v>20</v>
      </c>
      <c r="L238" t="s">
        <v>21</v>
      </c>
      <c r="M238">
        <v>1</v>
      </c>
      <c r="N238" t="s">
        <v>27</v>
      </c>
      <c r="O238">
        <v>88.8</v>
      </c>
      <c r="P238" s="2">
        <v>1192</v>
      </c>
    </row>
    <row r="239" spans="1:16" x14ac:dyDescent="0.3">
      <c r="A239" t="s">
        <v>272</v>
      </c>
      <c r="B239" t="s">
        <v>44</v>
      </c>
      <c r="C239" t="s">
        <v>36</v>
      </c>
      <c r="D239" t="s">
        <v>19</v>
      </c>
      <c r="E239">
        <v>26</v>
      </c>
      <c r="F239">
        <v>17</v>
      </c>
      <c r="G239">
        <v>19.399999999999999</v>
      </c>
      <c r="H239">
        <v>5.6</v>
      </c>
      <c r="I239">
        <v>2</v>
      </c>
      <c r="J239">
        <v>3</v>
      </c>
      <c r="K239" t="s">
        <v>34</v>
      </c>
      <c r="L239" t="s">
        <v>29</v>
      </c>
      <c r="M239">
        <v>0</v>
      </c>
      <c r="N239" t="s">
        <v>27</v>
      </c>
      <c r="O239">
        <v>75.599999999999994</v>
      </c>
      <c r="P239" s="2">
        <v>1258</v>
      </c>
    </row>
    <row r="240" spans="1:16" x14ac:dyDescent="0.3">
      <c r="A240" t="s">
        <v>273</v>
      </c>
      <c r="B240" t="s">
        <v>17</v>
      </c>
      <c r="C240" t="s">
        <v>78</v>
      </c>
      <c r="D240" t="s">
        <v>19</v>
      </c>
      <c r="E240">
        <v>23</v>
      </c>
      <c r="F240">
        <v>23.1</v>
      </c>
      <c r="G240">
        <v>89.2</v>
      </c>
      <c r="H240">
        <v>6.4</v>
      </c>
      <c r="I240">
        <v>3</v>
      </c>
      <c r="J240">
        <v>2</v>
      </c>
      <c r="K240" t="s">
        <v>20</v>
      </c>
      <c r="L240" t="s">
        <v>29</v>
      </c>
      <c r="M240">
        <v>1</v>
      </c>
      <c r="O240">
        <v>100</v>
      </c>
      <c r="P240" s="2">
        <v>1150</v>
      </c>
    </row>
    <row r="241" spans="1:16" x14ac:dyDescent="0.3">
      <c r="A241" t="s">
        <v>274</v>
      </c>
      <c r="B241" t="s">
        <v>44</v>
      </c>
      <c r="C241" t="s">
        <v>36</v>
      </c>
      <c r="D241" t="s">
        <v>25</v>
      </c>
      <c r="E241">
        <v>25</v>
      </c>
      <c r="F241">
        <v>7.5</v>
      </c>
      <c r="G241">
        <v>95.1</v>
      </c>
      <c r="H241">
        <v>9</v>
      </c>
      <c r="I241">
        <v>3</v>
      </c>
      <c r="J241">
        <v>4</v>
      </c>
      <c r="K241" t="s">
        <v>34</v>
      </c>
      <c r="L241" t="s">
        <v>21</v>
      </c>
      <c r="M241">
        <v>0</v>
      </c>
      <c r="O241">
        <v>62.5</v>
      </c>
      <c r="P241" s="2">
        <v>1131</v>
      </c>
    </row>
    <row r="242" spans="1:16" x14ac:dyDescent="0.3">
      <c r="A242" t="s">
        <v>275</v>
      </c>
      <c r="B242" t="s">
        <v>17</v>
      </c>
      <c r="C242" t="s">
        <v>62</v>
      </c>
      <c r="D242" t="s">
        <v>25</v>
      </c>
      <c r="E242">
        <v>22</v>
      </c>
      <c r="F242">
        <v>15.3</v>
      </c>
      <c r="G242">
        <v>17.8</v>
      </c>
      <c r="H242">
        <v>5.5</v>
      </c>
      <c r="I242">
        <v>2</v>
      </c>
      <c r="J242">
        <v>2</v>
      </c>
      <c r="K242" t="s">
        <v>20</v>
      </c>
      <c r="L242" t="s">
        <v>42</v>
      </c>
      <c r="M242">
        <v>0</v>
      </c>
      <c r="N242" t="s">
        <v>85</v>
      </c>
      <c r="O242">
        <v>74.400000000000006</v>
      </c>
      <c r="P242" s="2">
        <v>1152</v>
      </c>
    </row>
    <row r="243" spans="1:16" x14ac:dyDescent="0.3">
      <c r="A243" t="s">
        <v>276</v>
      </c>
      <c r="B243" t="s">
        <v>24</v>
      </c>
      <c r="C243" t="s">
        <v>62</v>
      </c>
      <c r="D243" t="s">
        <v>25</v>
      </c>
      <c r="E243">
        <v>23</v>
      </c>
      <c r="F243">
        <v>22.3</v>
      </c>
      <c r="G243">
        <v>70</v>
      </c>
      <c r="H243">
        <v>6.7</v>
      </c>
      <c r="I243">
        <v>2</v>
      </c>
      <c r="J243">
        <v>2</v>
      </c>
      <c r="K243" t="s">
        <v>20</v>
      </c>
      <c r="L243" t="s">
        <v>26</v>
      </c>
      <c r="M243">
        <v>0</v>
      </c>
      <c r="N243" t="s">
        <v>22</v>
      </c>
      <c r="O243">
        <v>84.4</v>
      </c>
      <c r="P243" s="2">
        <v>1100</v>
      </c>
    </row>
    <row r="244" spans="1:16" x14ac:dyDescent="0.3">
      <c r="A244" t="s">
        <v>337</v>
      </c>
      <c r="B244" t="s">
        <v>33</v>
      </c>
      <c r="C244" t="s">
        <v>78</v>
      </c>
      <c r="D244" t="s">
        <v>19</v>
      </c>
      <c r="E244">
        <v>20</v>
      </c>
      <c r="F244">
        <v>7.5</v>
      </c>
      <c r="G244">
        <v>58</v>
      </c>
      <c r="H244">
        <v>7</v>
      </c>
      <c r="I244">
        <v>4</v>
      </c>
      <c r="J244">
        <v>4</v>
      </c>
      <c r="K244" t="s">
        <v>20</v>
      </c>
      <c r="L244" t="s">
        <v>29</v>
      </c>
      <c r="M244">
        <v>1</v>
      </c>
      <c r="N244" t="s">
        <v>85</v>
      </c>
      <c r="O244">
        <v>75.8</v>
      </c>
      <c r="P244" s="2">
        <v>1088</v>
      </c>
    </row>
    <row r="245" spans="1:16" x14ac:dyDescent="0.3">
      <c r="A245" t="s">
        <v>277</v>
      </c>
      <c r="B245" t="s">
        <v>33</v>
      </c>
      <c r="C245" t="s">
        <v>36</v>
      </c>
      <c r="D245" t="s">
        <v>19</v>
      </c>
      <c r="E245">
        <v>28</v>
      </c>
      <c r="F245">
        <v>16.399999999999999</v>
      </c>
      <c r="G245">
        <v>25.5</v>
      </c>
      <c r="H245">
        <v>5.2</v>
      </c>
      <c r="I245">
        <v>1</v>
      </c>
      <c r="J245">
        <v>4</v>
      </c>
      <c r="K245" t="s">
        <v>34</v>
      </c>
      <c r="L245" t="s">
        <v>29</v>
      </c>
      <c r="M245">
        <v>1</v>
      </c>
      <c r="O245">
        <v>65.599999999999994</v>
      </c>
      <c r="P245" s="2">
        <v>1122</v>
      </c>
    </row>
    <row r="246" spans="1:16" x14ac:dyDescent="0.3">
      <c r="A246" t="s">
        <v>278</v>
      </c>
      <c r="B246" t="s">
        <v>44</v>
      </c>
      <c r="C246" t="s">
        <v>62</v>
      </c>
      <c r="D246" t="s">
        <v>19</v>
      </c>
      <c r="E246">
        <v>21</v>
      </c>
      <c r="F246">
        <v>17.399999999999999</v>
      </c>
      <c r="G246">
        <v>64.099999999999994</v>
      </c>
      <c r="H246">
        <v>8.5</v>
      </c>
      <c r="I246">
        <v>4</v>
      </c>
      <c r="J246">
        <v>4</v>
      </c>
      <c r="K246" t="s">
        <v>20</v>
      </c>
      <c r="L246" t="s">
        <v>21</v>
      </c>
      <c r="M246">
        <v>0</v>
      </c>
      <c r="N246" t="s">
        <v>45</v>
      </c>
      <c r="O246">
        <v>81.900000000000006</v>
      </c>
      <c r="P246" s="2">
        <v>1103</v>
      </c>
    </row>
    <row r="247" spans="1:16" x14ac:dyDescent="0.3">
      <c r="A247" t="s">
        <v>279</v>
      </c>
      <c r="B247" t="s">
        <v>17</v>
      </c>
      <c r="C247" t="s">
        <v>31</v>
      </c>
      <c r="D247" t="s">
        <v>19</v>
      </c>
      <c r="E247">
        <v>23</v>
      </c>
      <c r="F247">
        <v>17.100000000000001</v>
      </c>
      <c r="G247">
        <v>46.4</v>
      </c>
      <c r="H247">
        <v>8.9</v>
      </c>
      <c r="I247">
        <v>1</v>
      </c>
      <c r="J247">
        <v>4</v>
      </c>
      <c r="K247" t="s">
        <v>34</v>
      </c>
      <c r="L247" t="s">
        <v>29</v>
      </c>
      <c r="M247">
        <v>3</v>
      </c>
      <c r="N247" t="s">
        <v>27</v>
      </c>
      <c r="O247">
        <v>89.4</v>
      </c>
      <c r="P247" s="2">
        <v>1021</v>
      </c>
    </row>
    <row r="248" spans="1:16" x14ac:dyDescent="0.3">
      <c r="A248" t="s">
        <v>280</v>
      </c>
      <c r="B248" t="s">
        <v>47</v>
      </c>
      <c r="C248" t="s">
        <v>18</v>
      </c>
      <c r="D248" t="s">
        <v>19</v>
      </c>
      <c r="E248">
        <v>26</v>
      </c>
      <c r="F248">
        <v>12.9</v>
      </c>
      <c r="H248">
        <v>7</v>
      </c>
      <c r="I248">
        <v>2</v>
      </c>
      <c r="J248">
        <v>2</v>
      </c>
      <c r="K248" t="s">
        <v>34</v>
      </c>
      <c r="L248" t="s">
        <v>37</v>
      </c>
      <c r="M248">
        <v>1</v>
      </c>
      <c r="N248" t="s">
        <v>45</v>
      </c>
      <c r="O248">
        <v>76.5</v>
      </c>
      <c r="P248" s="2">
        <v>1189</v>
      </c>
    </row>
    <row r="249" spans="1:16" x14ac:dyDescent="0.3">
      <c r="A249" t="s">
        <v>281</v>
      </c>
      <c r="B249" t="s">
        <v>47</v>
      </c>
      <c r="C249" t="s">
        <v>62</v>
      </c>
      <c r="D249" t="s">
        <v>19</v>
      </c>
      <c r="E249">
        <v>25</v>
      </c>
      <c r="F249">
        <v>24.7</v>
      </c>
      <c r="G249">
        <v>34.1</v>
      </c>
      <c r="H249">
        <v>8.5</v>
      </c>
      <c r="I249">
        <v>4</v>
      </c>
      <c r="J249">
        <v>5</v>
      </c>
      <c r="K249" t="s">
        <v>20</v>
      </c>
      <c r="L249" t="s">
        <v>26</v>
      </c>
      <c r="M249">
        <v>3</v>
      </c>
      <c r="N249" t="s">
        <v>38</v>
      </c>
      <c r="O249">
        <v>96.4</v>
      </c>
      <c r="P249" s="2">
        <v>1072</v>
      </c>
    </row>
    <row r="250" spans="1:16" x14ac:dyDescent="0.3">
      <c r="A250" t="s">
        <v>282</v>
      </c>
      <c r="B250" t="s">
        <v>24</v>
      </c>
      <c r="C250" t="s">
        <v>18</v>
      </c>
      <c r="D250" t="s">
        <v>25</v>
      </c>
      <c r="E250">
        <v>24</v>
      </c>
      <c r="F250">
        <v>5</v>
      </c>
      <c r="G250">
        <v>29.8</v>
      </c>
      <c r="H250">
        <v>8.4</v>
      </c>
      <c r="I250">
        <v>2</v>
      </c>
      <c r="J250">
        <v>3</v>
      </c>
      <c r="K250" t="s">
        <v>20</v>
      </c>
      <c r="L250" t="s">
        <v>29</v>
      </c>
      <c r="M250">
        <v>0</v>
      </c>
      <c r="N250" t="s">
        <v>27</v>
      </c>
      <c r="O250">
        <v>85.4</v>
      </c>
      <c r="P250" s="2">
        <v>1107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"/>
  <sheetViews>
    <sheetView tabSelected="1" topLeftCell="F25" zoomScale="76" zoomScaleNormal="53" workbookViewId="0">
      <selection activeCell="K30" sqref="K30"/>
    </sheetView>
  </sheetViews>
  <sheetFormatPr defaultColWidth="8.6640625" defaultRowHeight="14.4" x14ac:dyDescent="0.3"/>
  <cols>
    <col min="1" max="1" width="30" customWidth="1"/>
    <col min="2" max="2" width="27.33203125" customWidth="1"/>
    <col min="3" max="3" width="17" customWidth="1"/>
    <col min="4" max="4" width="13.44140625" customWidth="1"/>
    <col min="5" max="5" width="19.44140625" customWidth="1"/>
    <col min="6" max="6" width="18.109375" customWidth="1"/>
    <col min="7" max="7" width="11" customWidth="1"/>
    <col min="8" max="8" width="16.77734375" customWidth="1"/>
    <col min="9" max="9" width="16" customWidth="1"/>
    <col min="11" max="11" width="13.33203125" customWidth="1"/>
    <col min="12" max="12" width="12.6640625" customWidth="1"/>
    <col min="13" max="13" width="10.77734375" customWidth="1"/>
    <col min="14" max="14" width="17.21875" customWidth="1"/>
    <col min="15" max="15" width="12" customWidth="1"/>
  </cols>
  <sheetData>
    <row r="1" spans="1:8" ht="27.6" customHeight="1" x14ac:dyDescent="0.35">
      <c r="A1" s="30" t="s">
        <v>311</v>
      </c>
      <c r="B1" s="30"/>
      <c r="C1" s="14"/>
    </row>
    <row r="2" spans="1:8" ht="24" customHeight="1" x14ac:dyDescent="0.3">
      <c r="A2" s="31"/>
      <c r="B2" s="31"/>
    </row>
    <row r="3" spans="1:8" x14ac:dyDescent="0.3">
      <c r="D3" s="17"/>
      <c r="E3" s="17"/>
      <c r="F3" s="17"/>
      <c r="G3" s="17"/>
      <c r="H3" s="17"/>
    </row>
    <row r="4" spans="1:8" ht="28.2" customHeight="1" x14ac:dyDescent="0.3">
      <c r="A4" s="8" t="s">
        <v>324</v>
      </c>
      <c r="D4" s="17"/>
      <c r="E4" s="17"/>
      <c r="F4" s="17"/>
      <c r="G4" s="17"/>
      <c r="H4" s="17"/>
    </row>
    <row r="5" spans="1:8" x14ac:dyDescent="0.3">
      <c r="A5" s="1" t="s">
        <v>283</v>
      </c>
      <c r="B5" s="5" t="s">
        <v>309</v>
      </c>
      <c r="D5" s="17"/>
      <c r="E5" s="17"/>
      <c r="F5" s="17"/>
      <c r="G5" s="17"/>
      <c r="H5" s="17"/>
    </row>
    <row r="6" spans="1:8" x14ac:dyDescent="0.3">
      <c r="A6" s="20" t="s">
        <v>284</v>
      </c>
      <c r="B6" s="15">
        <f>COUNT(Cleaned_Data!G2:G250)</f>
        <v>243</v>
      </c>
      <c r="D6" s="17"/>
      <c r="E6" s="17"/>
      <c r="F6" s="17"/>
      <c r="G6" s="17"/>
      <c r="H6" s="17"/>
    </row>
    <row r="7" spans="1:8" x14ac:dyDescent="0.3">
      <c r="A7" s="20" t="s">
        <v>285</v>
      </c>
      <c r="B7" s="15">
        <f>AVERAGE(Cleaned_Data!G:G)</f>
        <v>45.43621399176952</v>
      </c>
      <c r="D7" s="17"/>
      <c r="E7" s="17"/>
      <c r="F7" s="17"/>
      <c r="G7" s="17"/>
      <c r="H7" s="17"/>
    </row>
    <row r="8" spans="1:8" x14ac:dyDescent="0.3">
      <c r="A8" s="20" t="s">
        <v>286</v>
      </c>
      <c r="B8" s="15">
        <f>MEDIAN(Cleaned_Data!G:G)</f>
        <v>33</v>
      </c>
      <c r="D8" s="17"/>
      <c r="E8" s="17"/>
      <c r="F8" s="17"/>
      <c r="G8" s="17"/>
      <c r="H8" s="17"/>
    </row>
    <row r="9" spans="1:8" x14ac:dyDescent="0.3">
      <c r="A9" s="20" t="s">
        <v>287</v>
      </c>
      <c r="B9" s="15" t="s">
        <v>325</v>
      </c>
      <c r="E9" s="17"/>
      <c r="F9" s="18"/>
    </row>
    <row r="10" spans="1:8" x14ac:dyDescent="0.3">
      <c r="A10" s="20" t="s">
        <v>288</v>
      </c>
      <c r="B10" s="15">
        <f>MIN(Cleaned_Data!G:G)</f>
        <v>5</v>
      </c>
      <c r="E10" s="17"/>
      <c r="F10" s="18"/>
    </row>
    <row r="11" spans="1:8" x14ac:dyDescent="0.3">
      <c r="A11" s="20" t="s">
        <v>289</v>
      </c>
      <c r="B11" s="15">
        <f>MAX(Cleaned_Data!G:G)</f>
        <v>256.5</v>
      </c>
      <c r="E11" s="17"/>
      <c r="F11" s="18"/>
    </row>
    <row r="12" spans="1:8" x14ac:dyDescent="0.3">
      <c r="A12" s="20" t="s">
        <v>290</v>
      </c>
      <c r="B12" s="15">
        <f>256.5 - 5</f>
        <v>251.5</v>
      </c>
      <c r="E12" s="17"/>
      <c r="F12" s="18"/>
    </row>
    <row r="13" spans="1:8" x14ac:dyDescent="0.3">
      <c r="A13" s="20" t="s">
        <v>291</v>
      </c>
      <c r="B13" s="15">
        <f>_xlfn.STDEV.S(Cleaned_Data!G:G)</f>
        <v>40.151768963473693</v>
      </c>
      <c r="E13" s="17"/>
      <c r="F13" s="18"/>
    </row>
    <row r="14" spans="1:8" x14ac:dyDescent="0.3">
      <c r="A14" s="20" t="s">
        <v>292</v>
      </c>
      <c r="B14" s="16">
        <f>_xlfn.QUARTILE.INC(Cleaned_Data!G:G, 1)</f>
        <v>19.95</v>
      </c>
      <c r="E14" s="17"/>
      <c r="F14" s="18"/>
    </row>
    <row r="15" spans="1:8" x14ac:dyDescent="0.3">
      <c r="A15" s="20" t="s">
        <v>293</v>
      </c>
      <c r="B15" s="15">
        <f>_xlfn.QUARTILE.INC(Cleaned_Data!G:G,3 )</f>
        <v>59.2</v>
      </c>
      <c r="E15" s="17"/>
      <c r="F15" s="18"/>
    </row>
    <row r="16" spans="1:8" x14ac:dyDescent="0.3">
      <c r="A16" s="20" t="s">
        <v>294</v>
      </c>
      <c r="B16" s="15">
        <f>B15-B14</f>
        <v>39.25</v>
      </c>
      <c r="E16" s="17"/>
      <c r="F16" s="18"/>
    </row>
    <row r="17" spans="1:15" x14ac:dyDescent="0.3">
      <c r="A17" s="21"/>
      <c r="B17" s="21"/>
      <c r="E17" s="17"/>
      <c r="F17" s="19"/>
    </row>
    <row r="18" spans="1:15" ht="15.6" x14ac:dyDescent="0.3">
      <c r="A18" s="3" t="s">
        <v>331</v>
      </c>
    </row>
    <row r="19" spans="1:15" ht="27.75" customHeight="1" x14ac:dyDescent="0.3">
      <c r="A19" s="32"/>
      <c r="B19" s="33"/>
      <c r="C19" s="33"/>
      <c r="D19" s="33"/>
    </row>
    <row r="20" spans="1:15" ht="15" thickBot="1" x14ac:dyDescent="0.35">
      <c r="A20" s="1" t="s">
        <v>295</v>
      </c>
      <c r="B20" s="1" t="s">
        <v>296</v>
      </c>
      <c r="C20" s="1" t="s">
        <v>286</v>
      </c>
      <c r="D20" s="6" t="s">
        <v>297</v>
      </c>
      <c r="E20" s="7" t="s">
        <v>285</v>
      </c>
    </row>
    <row r="21" spans="1:15" ht="15" thickBot="1" x14ac:dyDescent="0.35">
      <c r="A21" s="20" t="s">
        <v>298</v>
      </c>
      <c r="B21" s="22">
        <f>COUNTIFS(Cleaned_Data!$B$2:$B$250, $A21, Cleaned_Data!$G$2:$G$250, "&lt;&gt;")</f>
        <v>95</v>
      </c>
      <c r="C21" s="22" cm="1">
        <f t="array" ref="C21">MEDIAN(_xlfn._xlws.FILTER(Cleaned_Data!$G$2:$G$250, (Cleaned_Data!$B$2:$B$250=$A21) * (Cleaned_Data!$G$2:$G$250&lt;&gt;"")))</f>
        <v>50.1</v>
      </c>
      <c r="D21" s="23" cm="1">
        <f t="array" ref="D21">_xlfn.STDEV.S(_xlfn._xlws.FILTER(Cleaned_Data!$G$2:$G$250, (Cleaned_Data!$B$2:$B$250=$A21) * (Cleaned_Data!$G$2:$G$250&lt;&gt;"")))</f>
        <v>45.374349794359773</v>
      </c>
      <c r="E21" s="23">
        <f>AVERAGEIFS(Cleaned_Data!$G$2:$G$250,Cleaned_Data!$B$2:$B$250,$A21)</f>
        <v>61.066315789473684</v>
      </c>
    </row>
    <row r="22" spans="1:15" ht="15" thickBot="1" x14ac:dyDescent="0.35">
      <c r="A22" s="20" t="s">
        <v>299</v>
      </c>
      <c r="B22" s="22">
        <f>COUNTIFS(Cleaned_Data!$B$2:$B$250, $A22, Cleaned_Data!$G$2:$G$250, "&lt;&gt;")</f>
        <v>49</v>
      </c>
      <c r="C22" s="22" cm="1">
        <f t="array" ref="C22">MEDIAN(_xlfn._xlws.FILTER(Cleaned_Data!$G$2:$G$250, (Cleaned_Data!$B$2:$B$250=$A22) * (Cleaned_Data!$G$2:$G$250&lt;&gt;"")))</f>
        <v>34.799999999999997</v>
      </c>
      <c r="D22" s="23" cm="1">
        <f t="array" ref="D22">_xlfn.STDEV.S(_xlfn._xlws.FILTER(Cleaned_Data!$G$2:$G$250, (Cleaned_Data!$B$2:$B$250=$A22) * (Cleaned_Data!$G$2:$G$250&lt;&gt;"")))</f>
        <v>37.095715161367792</v>
      </c>
      <c r="E22" s="23">
        <f>AVERAGEIFS(Cleaned_Data!$G$2:$G$250,Cleaned_Data!$B$2:$B$250,$A22)</f>
        <v>43.757142857142867</v>
      </c>
    </row>
    <row r="23" spans="1:15" ht="15" thickBot="1" x14ac:dyDescent="0.35">
      <c r="A23" s="20" t="s">
        <v>300</v>
      </c>
      <c r="B23" s="22">
        <f>COUNTIFS(Cleaned_Data!$B$2:$B$250, $A23, Cleaned_Data!$G$2:$G$250, "&lt;&gt;")</f>
        <v>30</v>
      </c>
      <c r="C23" s="22" cm="1">
        <f t="array" ref="C23">MEDIAN(_xlfn._xlws.FILTER(Cleaned_Data!$G$2:$G$250, (Cleaned_Data!$B$2:$B$250=$A23) * (Cleaned_Data!$G$2:$G$250&lt;&gt;"")))</f>
        <v>25.75</v>
      </c>
      <c r="D23" s="23" cm="1">
        <f t="array" ref="D23">_xlfn.STDEV.S(_xlfn._xlws.FILTER(Cleaned_Data!$G$2:$G$250, (Cleaned_Data!$B$2:$B$250=$A23) * (Cleaned_Data!$G$2:$G$250&lt;&gt;"")))</f>
        <v>37.860882673038795</v>
      </c>
      <c r="E23" s="23">
        <f>AVERAGEIFS(Cleaned_Data!$G$2:$G$250,Cleaned_Data!$B$2:$B$250,$A23)</f>
        <v>35.666666666666664</v>
      </c>
    </row>
    <row r="24" spans="1:15" ht="15" thickBot="1" x14ac:dyDescent="0.35">
      <c r="A24" s="20" t="s">
        <v>301</v>
      </c>
      <c r="B24" s="22">
        <f>COUNTIFS(Cleaned_Data!$B$2:$B$250, $A24, Cleaned_Data!$G$2:$G$250, "&lt;&gt;")</f>
        <v>40</v>
      </c>
      <c r="C24" s="22" cm="1">
        <f t="array" ref="C24">MEDIAN(_xlfn._xlws.FILTER(Cleaned_Data!$G$2:$G$250, (Cleaned_Data!$B$2:$B$250=$A24) * (Cleaned_Data!$G$2:$G$250&lt;&gt;"")))</f>
        <v>26</v>
      </c>
      <c r="D24" s="23" cm="1">
        <f t="array" ref="D24">_xlfn.STDEV.S(_xlfn._xlws.FILTER(Cleaned_Data!$G$2:$G$250, (Cleaned_Data!$B$2:$B$250=$A24) * (Cleaned_Data!$G$2:$G$250&lt;&gt;"")))</f>
        <v>30.719240504600496</v>
      </c>
      <c r="E24" s="23">
        <f>AVERAGEIFS(Cleaned_Data!$G$2:$G$250,Cleaned_Data!$B$2:$B$250,$A24)</f>
        <v>31.857499999999987</v>
      </c>
    </row>
    <row r="25" spans="1:15" ht="15" thickBot="1" x14ac:dyDescent="0.35">
      <c r="A25" s="20" t="s">
        <v>302</v>
      </c>
      <c r="B25" s="22">
        <f>COUNTIFS(Cleaned_Data!$B$2:$B$250, $A25, Cleaned_Data!$G$2:$G$250, "&lt;&gt;")</f>
        <v>29</v>
      </c>
      <c r="C25" s="22" cm="1">
        <f t="array" ref="C25">MEDIAN(_xlfn._xlws.FILTER(Cleaned_Data!$G$2:$G$250, (Cleaned_Data!$B$2:$B$250=$A25) * (Cleaned_Data!$G$2:$G$250&lt;&gt;"")))</f>
        <v>24</v>
      </c>
      <c r="D25" s="23" cm="1">
        <f t="array" ref="D25">_xlfn.STDEV.S(_xlfn._xlws.FILTER(Cleaned_Data!$G$2:$G$250, (Cleaned_Data!$B$2:$B$250=$A25) * (Cleaned_Data!$G$2:$G$250&lt;&gt;"")))</f>
        <v>16.412559020337429</v>
      </c>
      <c r="E25" s="23">
        <f>AVERAGEIFS(Cleaned_Data!$G$2:$G$250,Cleaned_Data!$B$2:$B$250,$A25)</f>
        <v>25.906896551724131</v>
      </c>
    </row>
    <row r="26" spans="1:15" ht="14.4" customHeight="1" x14ac:dyDescent="0.3">
      <c r="F26" s="28" t="s">
        <v>330</v>
      </c>
      <c r="G26" s="29"/>
      <c r="H26" s="29"/>
      <c r="L26" s="28" t="s">
        <v>330</v>
      </c>
      <c r="M26" s="29"/>
      <c r="N26" s="29"/>
    </row>
    <row r="27" spans="1:15" ht="15.6" customHeight="1" x14ac:dyDescent="0.3">
      <c r="A27" s="3" t="s">
        <v>303</v>
      </c>
      <c r="E27" s="1" t="s">
        <v>326</v>
      </c>
      <c r="F27" s="1" t="s">
        <v>327</v>
      </c>
      <c r="G27" s="1" t="s">
        <v>295</v>
      </c>
      <c r="H27" s="1" t="s">
        <v>328</v>
      </c>
      <c r="I27" s="1" t="s">
        <v>315</v>
      </c>
      <c r="K27" s="1" t="s">
        <v>326</v>
      </c>
      <c r="L27" s="1" t="s">
        <v>327</v>
      </c>
      <c r="M27" s="1" t="s">
        <v>295</v>
      </c>
      <c r="N27" s="1" t="s">
        <v>328</v>
      </c>
      <c r="O27" s="1" t="s">
        <v>315</v>
      </c>
    </row>
    <row r="28" spans="1:15" x14ac:dyDescent="0.3">
      <c r="A28" s="24" t="s">
        <v>283</v>
      </c>
      <c r="B28" s="25" t="s">
        <v>309</v>
      </c>
      <c r="E28" s="20">
        <v>43</v>
      </c>
      <c r="F28" s="15" t="s">
        <v>80</v>
      </c>
      <c r="G28" s="15" t="s">
        <v>298</v>
      </c>
      <c r="H28" s="15">
        <v>133.69999999999999</v>
      </c>
      <c r="I28" s="15">
        <v>68.099999999999994</v>
      </c>
      <c r="J28" s="21"/>
      <c r="K28" s="20">
        <v>205</v>
      </c>
      <c r="L28" s="15" t="s">
        <v>240</v>
      </c>
      <c r="M28" s="15" t="s">
        <v>298</v>
      </c>
      <c r="N28" s="15">
        <v>191.4</v>
      </c>
      <c r="O28" s="4">
        <v>74.3</v>
      </c>
    </row>
    <row r="29" spans="1:15" x14ac:dyDescent="0.3">
      <c r="A29" s="20" t="s">
        <v>304</v>
      </c>
      <c r="B29" s="15">
        <f>B14-(1.5*B16)</f>
        <v>-38.924999999999997</v>
      </c>
      <c r="E29" s="20">
        <v>73</v>
      </c>
      <c r="F29" s="15" t="s">
        <v>111</v>
      </c>
      <c r="G29" s="15" t="s">
        <v>298</v>
      </c>
      <c r="H29" s="15">
        <v>120.2</v>
      </c>
      <c r="I29" s="15">
        <v>80.2</v>
      </c>
      <c r="J29" s="21"/>
      <c r="K29" s="20">
        <v>229</v>
      </c>
      <c r="L29" s="15" t="s">
        <v>263</v>
      </c>
      <c r="M29" s="15" t="s">
        <v>298</v>
      </c>
      <c r="N29" s="15">
        <v>142.30000000000001</v>
      </c>
      <c r="O29" s="4">
        <v>85.3</v>
      </c>
    </row>
    <row r="30" spans="1:15" x14ac:dyDescent="0.3">
      <c r="A30" s="20" t="s">
        <v>305</v>
      </c>
      <c r="B30" s="15">
        <f>B15+(1.5*B16)</f>
        <v>118.075</v>
      </c>
      <c r="E30" s="20">
        <v>95</v>
      </c>
      <c r="F30" s="15" t="s">
        <v>133</v>
      </c>
      <c r="G30" s="15" t="s">
        <v>298</v>
      </c>
      <c r="H30" s="15">
        <v>176</v>
      </c>
      <c r="I30" s="15">
        <v>70.099999999999994</v>
      </c>
      <c r="J30" s="21"/>
      <c r="K30" s="21"/>
      <c r="L30" s="21"/>
      <c r="M30" s="21"/>
      <c r="N30" s="21"/>
    </row>
    <row r="31" spans="1:15" x14ac:dyDescent="0.3">
      <c r="A31" s="26" t="s">
        <v>312</v>
      </c>
      <c r="B31" s="15">
        <f>COUNTIF(Cleaned_Data!$G$2:$G$250,"&gt;"&amp;B30)</f>
        <v>14</v>
      </c>
      <c r="E31" s="20">
        <v>115</v>
      </c>
      <c r="F31" s="15" t="s">
        <v>153</v>
      </c>
      <c r="G31" s="15" t="s">
        <v>298</v>
      </c>
      <c r="H31" s="15">
        <v>200</v>
      </c>
      <c r="I31" s="15">
        <v>83.7</v>
      </c>
      <c r="J31" s="21"/>
      <c r="K31" s="21"/>
      <c r="L31" s="21"/>
      <c r="M31" s="21"/>
      <c r="N31" s="21"/>
    </row>
    <row r="32" spans="1:15" x14ac:dyDescent="0.3">
      <c r="E32" s="20">
        <v>117</v>
      </c>
      <c r="F32" s="15" t="s">
        <v>155</v>
      </c>
      <c r="G32" s="15" t="s">
        <v>298</v>
      </c>
      <c r="H32" s="15">
        <v>132</v>
      </c>
      <c r="I32" s="15">
        <v>81.8</v>
      </c>
      <c r="J32" s="21"/>
      <c r="K32" s="21"/>
      <c r="L32" s="21"/>
      <c r="M32" s="21"/>
      <c r="N32" s="21"/>
    </row>
    <row r="33" spans="1:14" ht="15.6" x14ac:dyDescent="0.3">
      <c r="A33" s="3" t="s">
        <v>306</v>
      </c>
      <c r="E33" s="20">
        <v>134</v>
      </c>
      <c r="F33" s="15" t="s">
        <v>171</v>
      </c>
      <c r="G33" s="15" t="s">
        <v>298</v>
      </c>
      <c r="H33" s="15">
        <v>256.5</v>
      </c>
      <c r="I33" s="15">
        <v>99</v>
      </c>
      <c r="J33" s="21"/>
      <c r="K33" s="21"/>
      <c r="L33" s="21"/>
      <c r="M33" s="21"/>
      <c r="N33" s="21"/>
    </row>
    <row r="34" spans="1:14" x14ac:dyDescent="0.3">
      <c r="A34" s="24" t="s">
        <v>307</v>
      </c>
      <c r="B34" s="25" t="s">
        <v>310</v>
      </c>
      <c r="E34" s="20">
        <v>139</v>
      </c>
      <c r="F34" s="15" t="s">
        <v>176</v>
      </c>
      <c r="G34" s="15" t="s">
        <v>298</v>
      </c>
      <c r="H34" s="15">
        <v>154</v>
      </c>
      <c r="I34" s="15">
        <v>50.4</v>
      </c>
      <c r="J34" s="21"/>
      <c r="K34" s="21"/>
      <c r="L34" s="21"/>
      <c r="M34" s="21"/>
      <c r="N34" s="21"/>
    </row>
    <row r="35" spans="1:14" ht="15" x14ac:dyDescent="0.3">
      <c r="A35" s="20" t="s">
        <v>6</v>
      </c>
      <c r="B35" s="15">
        <f>(B13/B7)*100</f>
        <v>88.369530460321641</v>
      </c>
      <c r="C35" s="27" t="s">
        <v>313</v>
      </c>
      <c r="D35" s="21">
        <f>(B13/B7)*100</f>
        <v>88.369530460321641</v>
      </c>
      <c r="E35" s="20">
        <v>143</v>
      </c>
      <c r="F35" s="15" t="s">
        <v>180</v>
      </c>
      <c r="G35" s="15" t="s">
        <v>298</v>
      </c>
      <c r="H35" s="15">
        <v>126.7</v>
      </c>
      <c r="I35" s="15">
        <v>69.2</v>
      </c>
      <c r="J35" s="21"/>
      <c r="K35" s="21"/>
      <c r="L35" s="21"/>
      <c r="M35" s="21"/>
      <c r="N35" s="21"/>
    </row>
    <row r="36" spans="1:14" x14ac:dyDescent="0.3">
      <c r="A36" s="20" t="s">
        <v>14</v>
      </c>
      <c r="B36" s="15" cm="1">
        <f t="array" ref="B36">_xlfn.STDEV.S(IFERROR(VALUE(SUBSTITUTE(Cleaned_Data!O2:O250,",",".")),""))/AVERAGE(IFERROR(VALUE(SUBSTITUTE(Cleaned_Data!O2:O250,",",".")),"")) * 100</f>
        <v>12.316518368415329</v>
      </c>
      <c r="C36" s="21" t="s">
        <v>314</v>
      </c>
      <c r="D36" s="21" cm="1">
        <f t="array" ref="D36">_xlfn.STDEV.S(IFERROR(VALUE(SUBSTITUTE(Cleaned_Data!O2:O250,",",".")),""))/AVERAGE(IFERROR(VALUE(SUBSTITUTE(Cleaned_Data!O2:O250,",",".")),"")) * 100</f>
        <v>12.316518368415329</v>
      </c>
      <c r="E36" s="20">
        <v>153</v>
      </c>
      <c r="F36" s="15" t="s">
        <v>189</v>
      </c>
      <c r="G36" s="15" t="s">
        <v>301</v>
      </c>
      <c r="H36" s="15">
        <v>190.2</v>
      </c>
      <c r="I36" s="15">
        <v>85.6</v>
      </c>
      <c r="J36" s="21"/>
      <c r="K36" s="21"/>
      <c r="L36" s="21"/>
      <c r="M36" s="21"/>
      <c r="N36" s="21"/>
    </row>
    <row r="37" spans="1:14" x14ac:dyDescent="0.3">
      <c r="A37" s="21"/>
      <c r="B37" s="21"/>
      <c r="C37" s="21"/>
      <c r="D37" s="21"/>
      <c r="E37" s="20">
        <v>157</v>
      </c>
      <c r="F37" s="15" t="s">
        <v>193</v>
      </c>
      <c r="G37" s="15" t="s">
        <v>300</v>
      </c>
      <c r="H37" s="15">
        <v>209.8</v>
      </c>
      <c r="I37" s="15" t="s">
        <v>329</v>
      </c>
      <c r="J37" s="21"/>
      <c r="K37" s="21"/>
      <c r="L37" s="21"/>
      <c r="M37" s="21"/>
      <c r="N37" s="21"/>
    </row>
    <row r="38" spans="1:14" ht="15.6" x14ac:dyDescent="0.3">
      <c r="A38" s="3" t="s">
        <v>308</v>
      </c>
      <c r="E38" s="20">
        <v>186</v>
      </c>
      <c r="F38" s="15" t="s">
        <v>221</v>
      </c>
      <c r="G38" s="15" t="s">
        <v>298</v>
      </c>
      <c r="H38" s="15">
        <v>121.4</v>
      </c>
      <c r="I38" s="15">
        <v>68.5</v>
      </c>
      <c r="J38" s="21"/>
      <c r="K38" s="21"/>
      <c r="L38" s="21"/>
      <c r="M38" s="21"/>
      <c r="N38" s="21"/>
    </row>
    <row r="39" spans="1:14" x14ac:dyDescent="0.3">
      <c r="A39" s="34"/>
      <c r="B39" s="34"/>
      <c r="E39" s="20">
        <v>194</v>
      </c>
      <c r="F39" s="15" t="s">
        <v>229</v>
      </c>
      <c r="G39" s="15" t="s">
        <v>299</v>
      </c>
      <c r="H39" s="15">
        <v>238.9</v>
      </c>
      <c r="I39" s="15">
        <v>76.099999999999994</v>
      </c>
      <c r="J39" s="21"/>
      <c r="K39" s="21"/>
      <c r="L39" s="21"/>
      <c r="M39" s="21"/>
      <c r="N39" s="21"/>
    </row>
    <row r="40" spans="1:14" x14ac:dyDescent="0.3">
      <c r="E40" s="21"/>
      <c r="F40" s="21"/>
      <c r="G40" s="21"/>
      <c r="H40" s="21"/>
      <c r="I40" s="21"/>
      <c r="J40" s="21"/>
      <c r="K40" s="21"/>
      <c r="L40" s="21"/>
      <c r="M40" s="21"/>
      <c r="N40" s="21"/>
    </row>
  </sheetData>
  <mergeCells count="6">
    <mergeCell ref="L26:N26"/>
    <mergeCell ref="A1:B1"/>
    <mergeCell ref="A2:B2"/>
    <mergeCell ref="A19:D19"/>
    <mergeCell ref="A39:B39"/>
    <mergeCell ref="F26:H26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535C-BB0F-40C1-8394-BCBDB98B4CB9}">
  <dimension ref="A1:N12"/>
  <sheetViews>
    <sheetView zoomScale="66" zoomScaleNormal="100" workbookViewId="0">
      <selection activeCell="B10" sqref="B10"/>
    </sheetView>
  </sheetViews>
  <sheetFormatPr defaultRowHeight="14.4" x14ac:dyDescent="0.3"/>
  <cols>
    <col min="1" max="1" width="22" customWidth="1"/>
    <col min="2" max="2" width="13.88671875" customWidth="1"/>
    <col min="3" max="3" width="15.109375" customWidth="1"/>
    <col min="4" max="4" width="14.5546875" customWidth="1"/>
    <col min="5" max="5" width="14.33203125" customWidth="1"/>
    <col min="6" max="6" width="17.33203125" customWidth="1"/>
    <col min="7" max="7" width="12.5546875" customWidth="1"/>
    <col min="8" max="8" width="12.21875" customWidth="1"/>
    <col min="9" max="9" width="11.44140625" customWidth="1"/>
    <col min="10" max="10" width="11.21875" customWidth="1"/>
    <col min="11" max="11" width="13.33203125" customWidth="1"/>
    <col min="12" max="12" width="11.44140625" customWidth="1"/>
    <col min="13" max="13" width="11.5546875" customWidth="1"/>
  </cols>
  <sheetData>
    <row r="1" spans="1:14" ht="17.399999999999999" customHeight="1" x14ac:dyDescent="0.3">
      <c r="A1" s="13" t="s">
        <v>323</v>
      </c>
      <c r="B1" s="13"/>
      <c r="C1" s="13"/>
      <c r="D1" s="13"/>
    </row>
    <row r="3" spans="1:14" ht="37.200000000000003" customHeight="1" x14ac:dyDescent="0.3">
      <c r="A3" s="1" t="s">
        <v>307</v>
      </c>
      <c r="B3" s="1" t="s">
        <v>320</v>
      </c>
      <c r="C3" s="1" t="s">
        <v>285</v>
      </c>
      <c r="D3" s="1" t="s">
        <v>286</v>
      </c>
      <c r="E3" s="1" t="s">
        <v>287</v>
      </c>
      <c r="F3" s="1" t="s">
        <v>321</v>
      </c>
      <c r="G3" s="1" t="s">
        <v>288</v>
      </c>
      <c r="H3" s="1" t="s">
        <v>289</v>
      </c>
      <c r="I3" s="1" t="s">
        <v>316</v>
      </c>
      <c r="J3" s="1" t="s">
        <v>317</v>
      </c>
      <c r="K3" s="1" t="s">
        <v>318</v>
      </c>
      <c r="L3" s="1" t="s">
        <v>319</v>
      </c>
      <c r="M3" s="1" t="s">
        <v>322</v>
      </c>
    </row>
    <row r="4" spans="1:14" ht="18.600000000000001" customHeight="1" x14ac:dyDescent="0.3">
      <c r="A4" s="12" t="s">
        <v>4</v>
      </c>
      <c r="B4" s="9">
        <f>COUNT(Cleaned_Data!E2:E250)</f>
        <v>249</v>
      </c>
      <c r="C4" s="10">
        <f>AVERAGE(Cleaned_Data!E2:E250)</f>
        <v>23.510040160642571</v>
      </c>
      <c r="D4" s="10">
        <f>MEDIAN(Cleaned_Data!E2:E250)</f>
        <v>23</v>
      </c>
      <c r="E4" s="10">
        <v>23</v>
      </c>
      <c r="F4" s="10">
        <f>_xlfn.STDEV.S(Cleaned_Data!E2:E250)</f>
        <v>2.2181662904139969</v>
      </c>
      <c r="G4" s="10">
        <f>MIN(Cleaned_Data!E2:E250)</f>
        <v>20</v>
      </c>
      <c r="H4" s="10">
        <f>MAX(Cleaned_Data!E2:E250)</f>
        <v>30</v>
      </c>
      <c r="I4" s="10">
        <f>H4-G4</f>
        <v>10</v>
      </c>
      <c r="J4" s="10">
        <f>_xlfn.QUARTILE.INC(Cleaned_Data!E2:E250,1)</f>
        <v>22</v>
      </c>
      <c r="K4" s="10">
        <f>_xlfn.QUARTILE.INC(Cleaned_Data!E2:E250,3)</f>
        <v>25</v>
      </c>
      <c r="L4" s="10">
        <f>K4-J4</f>
        <v>3</v>
      </c>
      <c r="M4" s="10">
        <f>F4/C4*100</f>
        <v>9.4349744843369532</v>
      </c>
      <c r="N4" s="11"/>
    </row>
    <row r="5" spans="1:14" ht="20.399999999999999" customHeight="1" x14ac:dyDescent="0.3">
      <c r="A5" s="12" t="s">
        <v>5</v>
      </c>
      <c r="B5" s="9">
        <f>COUNT(Cleaned_Data!F2:F250)</f>
        <v>249</v>
      </c>
      <c r="C5" s="10">
        <f>AVERAGE(Cleaned_Data!F2:F250)</f>
        <v>16.294540103734775</v>
      </c>
      <c r="D5" s="10">
        <f>MEDIAN(Cleaned_Data!F2:F250)</f>
        <v>16.5267206477732</v>
      </c>
      <c r="E5" s="10">
        <f>_xlfn.MODE.SNGL(Cleaned_Data!F2:F250)</f>
        <v>16.5267206477732</v>
      </c>
      <c r="F5" s="10">
        <f>_xlfn.STDEV.S(Cleaned_Data!F2:F250)</f>
        <v>5.2618741285408888</v>
      </c>
      <c r="G5" s="10">
        <f>MIN(Cleaned_Data!F2:F250)</f>
        <v>2</v>
      </c>
      <c r="H5" s="10">
        <f>MAX(Cleaned_Data!F2:F250)</f>
        <v>27.8</v>
      </c>
      <c r="I5" s="10">
        <f>H5-G5</f>
        <v>25.8</v>
      </c>
      <c r="J5" s="10">
        <f>_xlfn.QUARTILE.INC(Cleaned_Data!F2:F250,1)</f>
        <v>12.8</v>
      </c>
      <c r="K5" s="10">
        <f>_xlfn.QUARTILE.INC(Cleaned_Data!F2:F250,3)</f>
        <v>20.100000000000001</v>
      </c>
      <c r="L5" s="10">
        <f>K5-J5</f>
        <v>7.3000000000000007</v>
      </c>
      <c r="M5" s="10">
        <f>F5/C5*100</f>
        <v>32.292253080127409</v>
      </c>
      <c r="N5" s="11"/>
    </row>
    <row r="6" spans="1:14" ht="24.6" customHeight="1" x14ac:dyDescent="0.3">
      <c r="A6" s="12" t="s">
        <v>6</v>
      </c>
      <c r="B6" s="9">
        <f>COUNT(Cleaned_Data!G2:G250)</f>
        <v>243</v>
      </c>
      <c r="C6" s="10">
        <f>AVERAGE(Cleaned_Data!G2:G250)</f>
        <v>45.43621399176952</v>
      </c>
      <c r="D6" s="10">
        <f>MEDIAN(Cleaned_Data!G2:G250)</f>
        <v>33</v>
      </c>
      <c r="E6" s="10">
        <f>_xlfn.MODE.SNGL(Cleaned_Data!G2:G250)</f>
        <v>37.200000000000003</v>
      </c>
      <c r="F6" s="10">
        <f>_xlfn.STDEV.S(Cleaned_Data!G2:G250)</f>
        <v>40.151768963473693</v>
      </c>
      <c r="G6" s="10">
        <f>MIN(Cleaned_Data!G2:G250)</f>
        <v>5</v>
      </c>
      <c r="H6" s="10">
        <f>MAX(Cleaned_Data!G2:G250)</f>
        <v>256.5</v>
      </c>
      <c r="I6" s="10">
        <f>H6-G6</f>
        <v>251.5</v>
      </c>
      <c r="J6" s="10">
        <f>_xlfn.QUARTILE.INC(Cleaned_Data!G2:G250,1)</f>
        <v>19.95</v>
      </c>
      <c r="K6" s="10">
        <f>_xlfn.QUARTILE.INC(Cleaned_Data!G2:G250,3)</f>
        <v>59.2</v>
      </c>
      <c r="L6" s="10">
        <f>K6-J6</f>
        <v>39.25</v>
      </c>
      <c r="M6" s="10">
        <f>F6/C6*100</f>
        <v>88.369530460321641</v>
      </c>
      <c r="N6" s="11"/>
    </row>
    <row r="7" spans="1:14" ht="20.399999999999999" customHeight="1" x14ac:dyDescent="0.3">
      <c r="A7" s="12" t="s">
        <v>7</v>
      </c>
      <c r="B7" s="9">
        <f>COUNT(Cleaned_Data!H2:H250)</f>
        <v>249</v>
      </c>
      <c r="C7" s="10">
        <f>AVERAGE(Cleaned_Data!H2:H250)</f>
        <v>6.8309236947791163</v>
      </c>
      <c r="D7" s="10">
        <f>MEDIAN(Cleaned_Data!H2:H250)</f>
        <v>6.8</v>
      </c>
      <c r="E7" s="10">
        <f>_xlfn.MODE.SNGL(Cleaned_Data!H2:H250)</f>
        <v>6.8</v>
      </c>
      <c r="F7" s="10">
        <f>_xlfn.STDEV.S(Cleaned_Data!H2:H250)</f>
        <v>1.0718011061244039</v>
      </c>
      <c r="G7" s="10">
        <f>MIN(Cleaned_Data!H2:H250)</f>
        <v>3.8</v>
      </c>
      <c r="H7" s="10">
        <f>MAX(Cleaned_Data!H2:H250)</f>
        <v>9.5</v>
      </c>
      <c r="I7" s="10">
        <f>H7-G7</f>
        <v>5.7</v>
      </c>
      <c r="J7" s="10">
        <f>_xlfn.QUARTILE.INC(Cleaned_Data!H2:H250,1)</f>
        <v>6.1</v>
      </c>
      <c r="K7" s="10">
        <f>_xlfn.QUARTILE.INC(Cleaned_Data!H2:H250,3)</f>
        <v>7.5</v>
      </c>
      <c r="L7" s="10">
        <f>K7-J7</f>
        <v>1.4000000000000004</v>
      </c>
      <c r="M7" s="10">
        <f>F7/C7*100</f>
        <v>15.690427151800609</v>
      </c>
      <c r="N7" s="11"/>
    </row>
    <row r="8" spans="1:14" ht="24" customHeight="1" x14ac:dyDescent="0.3">
      <c r="A8" s="12" t="s">
        <v>8</v>
      </c>
      <c r="B8" s="9">
        <f>COUNT(Cleaned_Data!H2:H250)</f>
        <v>249</v>
      </c>
      <c r="C8" s="10">
        <f>AVERAGE(Cleaned_Data!I2:I250)</f>
        <v>3.1485943775100402</v>
      </c>
      <c r="D8" s="10">
        <f>MEDIAN(Cleaned_Data!I2:I250)</f>
        <v>3</v>
      </c>
      <c r="E8" s="10">
        <f>_xlfn.MODE.SNGL(Cleaned_Data!I2:I250)</f>
        <v>2</v>
      </c>
      <c r="F8" s="10">
        <f>_xlfn.STDEV.S(Cleaned_Data!I2:I250)</f>
        <v>1.7909967580166983</v>
      </c>
      <c r="G8" s="10">
        <f>MIN(Cleaned_Data!I2:I250)</f>
        <v>0</v>
      </c>
      <c r="H8" s="10">
        <f>MAX(Cleaned_Data!I2:I250)</f>
        <v>8</v>
      </c>
      <c r="I8" s="10">
        <f>H8-G8</f>
        <v>8</v>
      </c>
      <c r="J8" s="10">
        <f>_xlfn.QUARTILE.INC(Cleaned_Data!I2:I250,1)</f>
        <v>2</v>
      </c>
      <c r="K8" s="10">
        <f>_xlfn.QUARTILE.INC(Cleaned_Data!I2:I250,3)</f>
        <v>4</v>
      </c>
      <c r="L8" s="10">
        <f>K8-J8</f>
        <v>2</v>
      </c>
      <c r="M8" s="10">
        <f>F8/C8*100</f>
        <v>56.882422544152789</v>
      </c>
      <c r="N8" s="11"/>
    </row>
    <row r="9" spans="1:14" ht="21" customHeight="1" x14ac:dyDescent="0.3">
      <c r="A9" s="12" t="s">
        <v>9</v>
      </c>
      <c r="B9" s="9">
        <f>COUNT(Cleaned_Data!H2:H250)</f>
        <v>249</v>
      </c>
      <c r="C9" s="10">
        <f>AVERAGE(Cleaned_Data!J2:J250)</f>
        <v>3.606425702811245</v>
      </c>
      <c r="D9" s="10">
        <f>MEDIAN(Cleaned_Data!J2:J250)</f>
        <v>4</v>
      </c>
      <c r="E9" s="10">
        <f>_xlfn.MODE.SNGL(Cleaned_Data!J2:J250)</f>
        <v>4</v>
      </c>
      <c r="F9" s="10">
        <f>_xlfn.STDEV.S(Cleaned_Data!J2:J250)</f>
        <v>0.99884957793288498</v>
      </c>
      <c r="G9" s="10">
        <f>MIN(Cleaned_Data!J2:J250)</f>
        <v>1</v>
      </c>
      <c r="H9" s="10">
        <f>MAX(Cleaned_Data!J2:J250)</f>
        <v>5</v>
      </c>
      <c r="I9" s="10">
        <f>H9-G9</f>
        <v>4</v>
      </c>
      <c r="J9" s="10">
        <f>_xlfn.QUARTILE.INC(Cleaned_Data!J2:J250,1)</f>
        <v>3</v>
      </c>
      <c r="K9" s="10">
        <f>_xlfn.QUARTILE.INC(Cleaned_Data!J2:J250,3)</f>
        <v>4</v>
      </c>
      <c r="L9" s="10">
        <f>K9-J9</f>
        <v>1</v>
      </c>
      <c r="M9" s="10">
        <f>F9/C9*100</f>
        <v>27.696385846914072</v>
      </c>
      <c r="N9" s="11"/>
    </row>
    <row r="10" spans="1:14" ht="22.8" customHeight="1" x14ac:dyDescent="0.3">
      <c r="A10" s="12" t="s">
        <v>12</v>
      </c>
      <c r="B10" s="9">
        <f>COUNT(Cleaned_Data!M2:M250)</f>
        <v>249</v>
      </c>
      <c r="C10" s="10">
        <f>AVERAGE(Cleaned_Data!M2:M250)</f>
        <v>0.70682730923694781</v>
      </c>
      <c r="D10" s="10">
        <f>MEDIAN(Cleaned_Data!M2:M250)</f>
        <v>0</v>
      </c>
      <c r="E10" s="10">
        <f>_xlfn.MODE.SNGL(Cleaned_Data!M2:M250)</f>
        <v>0</v>
      </c>
      <c r="F10" s="10">
        <f>_xlfn.STDEV.S(Cleaned_Data!M2:M250)</f>
        <v>1.0072286987120962</v>
      </c>
      <c r="G10" s="10">
        <f>MIN(Cleaned_Data!M2:M250)</f>
        <v>0</v>
      </c>
      <c r="H10" s="10">
        <f>MAX(Cleaned_Data!M2:M250)</f>
        <v>4</v>
      </c>
      <c r="I10" s="10">
        <f>H10-G10</f>
        <v>4</v>
      </c>
      <c r="J10" s="10">
        <f>_xlfn.QUARTILE.INC(Cleaned_Data!M2:M250,1)</f>
        <v>0</v>
      </c>
      <c r="K10" s="10">
        <f>_xlfn.QUARTILE.INC(Cleaned_Data!M2:M250,3)</f>
        <v>1</v>
      </c>
      <c r="L10" s="10">
        <f>K10-J10</f>
        <v>1</v>
      </c>
      <c r="M10" s="10">
        <f>F10/C10*100</f>
        <v>142.49996930642723</v>
      </c>
      <c r="N10" s="11"/>
    </row>
    <row r="11" spans="1:14" ht="31.2" customHeight="1" x14ac:dyDescent="0.3">
      <c r="A11" s="12" t="s">
        <v>14</v>
      </c>
      <c r="B11" s="9">
        <f>COUNT(Cleaned_Data!O2:O250)</f>
        <v>249</v>
      </c>
      <c r="C11" s="10">
        <f>AVERAGE(Cleaned_Data!O2:O250)</f>
        <v>79.309915893080515</v>
      </c>
      <c r="D11" s="10">
        <f>MEDIAN(Cleaned_Data!O2:O250)</f>
        <v>78.599999999999994</v>
      </c>
      <c r="E11" s="10">
        <f>_xlfn.MODE.SNGL(Cleaned_Data!O2:O250)</f>
        <v>74.3</v>
      </c>
      <c r="F11" s="10">
        <f>_xlfn.STDEV.S(Cleaned_Data!O2:O250)</f>
        <v>9.7682203589460102</v>
      </c>
      <c r="G11" s="10">
        <f>MIN(Cleaned_Data!O2:O250)</f>
        <v>50.4</v>
      </c>
      <c r="H11" s="10">
        <f>MAX(Cleaned_Data!O2:O250)</f>
        <v>100</v>
      </c>
      <c r="I11" s="10">
        <f>H11-G11</f>
        <v>49.6</v>
      </c>
      <c r="J11" s="10">
        <f>_xlfn.QUARTILE.INC(Cleaned_Data!O2:O250,1)</f>
        <v>72.7</v>
      </c>
      <c r="K11" s="10">
        <f>_xlfn.QUARTILE.INC(Cleaned_Data!O2:O250,3)</f>
        <v>85.9</v>
      </c>
      <c r="L11" s="10">
        <f>K11-J11</f>
        <v>13.200000000000003</v>
      </c>
      <c r="M11" s="10">
        <f>F11/C11*100</f>
        <v>12.316518368415329</v>
      </c>
      <c r="N11" s="11"/>
    </row>
    <row r="12" spans="1:14" x14ac:dyDescent="0.3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Descriptive Statistics Summary</vt:lpstr>
      <vt:lpstr>All 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Karim Hossam</cp:lastModifiedBy>
  <cp:revision>0</cp:revision>
  <dcterms:created xsi:type="dcterms:W3CDTF">2026-08-29T21:52:46Z</dcterms:created>
  <dcterms:modified xsi:type="dcterms:W3CDTF">2026-09-04T12:39:36Z</dcterms:modified>
  <dc:language>en-US</dc:language>
</cp:coreProperties>
</file>